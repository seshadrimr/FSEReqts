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Srilakshmi\Internship 2020\Design\Re-design\MFRP Re-design\"/>
    </mc:Choice>
  </mc:AlternateContent>
  <bookViews>
    <workbookView xWindow="0" yWindow="0" windowWidth="20490" windowHeight="7020" firstSheet="1" activeTab="2"/>
  </bookViews>
  <sheets>
    <sheet name="Cover Page" sheetId="2" r:id="rId1"/>
    <sheet name="Instructions" sheetId="4" r:id="rId2"/>
    <sheet name="Technical Evaluation" sheetId="5" r:id="rId3"/>
    <sheet name="MasterData" sheetId="7" state="hidden" r:id="rId4"/>
    <sheet name="Best Practices" sheetId="6" r:id="rId5"/>
    <sheet name="Revision History" sheetId="8" r:id="rId6"/>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5" l="1"/>
  <c r="G5" i="5"/>
  <c r="L4" i="5"/>
  <c r="O4" i="5"/>
  <c r="R4" i="5"/>
  <c r="U4" i="5" l="1"/>
  <c r="G4" i="5" l="1"/>
  <c r="H4" i="5" s="1"/>
</calcChain>
</file>

<file path=xl/sharedStrings.xml><?xml version="1.0" encoding="utf-8"?>
<sst xmlns="http://schemas.openxmlformats.org/spreadsheetml/2006/main" count="108" uniqueCount="92">
  <si>
    <t>Prepared By / Last Updated By</t>
  </si>
  <si>
    <t>Reviewed By</t>
  </si>
  <si>
    <t>Approved By</t>
  </si>
  <si>
    <t>Name</t>
  </si>
  <si>
    <t>Role</t>
  </si>
  <si>
    <t>Signature</t>
  </si>
  <si>
    <t>Date</t>
  </si>
  <si>
    <t xml:space="preserve">                       </t>
  </si>
  <si>
    <t>C3: Protected</t>
  </si>
  <si>
    <t>Project Demo Checklist</t>
  </si>
  <si>
    <t>Academy - Project Solutions</t>
  </si>
  <si>
    <t>Cohort Code</t>
  </si>
  <si>
    <t>User Story Evaluated</t>
  </si>
  <si>
    <r>
      <t xml:space="preserve">Instructions
                                     </t>
    </r>
    <r>
      <rPr>
        <sz val="9"/>
        <color indexed="23"/>
        <rFont val="Arial"/>
        <family val="2"/>
      </rPr>
      <t xml:space="preserve">                                 C3: Protected          Controlled Copy</t>
    </r>
  </si>
  <si>
    <t>Associate Id</t>
  </si>
  <si>
    <t>Associate Name</t>
  </si>
  <si>
    <t>Overall  Comments</t>
  </si>
  <si>
    <t>Exceptional; clear, well organized and easily understood</t>
  </si>
  <si>
    <t>Excellent; able to think logically and solve the problem</t>
  </si>
  <si>
    <t>High interest and levels of participation. Very regular.</t>
  </si>
  <si>
    <t>Clear and Understandable</t>
  </si>
  <si>
    <t>Good</t>
  </si>
  <si>
    <t xml:space="preserve">Above Average interest and levels of participation. </t>
  </si>
  <si>
    <t>Satisfactory</t>
  </si>
  <si>
    <t>Satisfactory amount of interest and participation</t>
  </si>
  <si>
    <t>Inadequate; unable to put across thoughts clearly</t>
  </si>
  <si>
    <t>Unsatisfactory; unable to identify how to solve the problem</t>
  </si>
  <si>
    <t>Little interest or enthusiasm shown. Very irregular in attending trainings/assessments</t>
  </si>
  <si>
    <t>Not Applicable / Not Evaluated</t>
  </si>
  <si>
    <t>Project Name</t>
  </si>
  <si>
    <t>Basic Data</t>
  </si>
  <si>
    <t xml:space="preserve">Application of Self-Learnt Skills </t>
  </si>
  <si>
    <t>Business Value</t>
  </si>
  <si>
    <t>Were they able to explain the project design and implementation?</t>
  </si>
  <si>
    <t>Were they able to justify why the implementation follows a specific algorithm/method, and not any other alternate means?</t>
  </si>
  <si>
    <t>Analysis of Best Practices Implemented</t>
  </si>
  <si>
    <t>S.No.</t>
  </si>
  <si>
    <t>Evaluation Criteria</t>
  </si>
  <si>
    <t>Single Responsibility Principle</t>
  </si>
  <si>
    <t>Each class or a method must have handled only 1 responsibility</t>
  </si>
  <si>
    <t>0-Not Evaluated</t>
  </si>
  <si>
    <t xml:space="preserve">Dependency Inversion </t>
  </si>
  <si>
    <t>Check if abstraction is introduced between high level classes and low level classes such that high level modules should not depend on the low level modules
Example: Service is in Business layer that depends on DAO in database layer. Rather than doing a tight coupling of DAO classes directly into service, they have must have created an Interface for Service and atttached the DAO to the interface.</t>
  </si>
  <si>
    <t>Modularity</t>
  </si>
  <si>
    <t>Associate code must be modularized for keeping particular pieces of code independent of other components. This provides loose coupling to support well-structured code.</t>
  </si>
  <si>
    <t>Coding Standards</t>
  </si>
  <si>
    <t>0-Not Attempted</t>
  </si>
  <si>
    <t>0-Not Completed</t>
  </si>
  <si>
    <t>1-Completed</t>
  </si>
  <si>
    <t xml:space="preserve">Associates must have used Java coding standards. Code quality must be verifying PMD report and ensure there is no SEV 1 or SEV 2 voilations. </t>
  </si>
  <si>
    <t>0-Not Working</t>
  </si>
  <si>
    <t>50%-Partially Working</t>
  </si>
  <si>
    <t>100%-Fully Working</t>
  </si>
  <si>
    <t>50%-Partially Completed</t>
  </si>
  <si>
    <t>100%-Fully Completed</t>
  </si>
  <si>
    <t>Section Score (50%)</t>
  </si>
  <si>
    <t>Section Score (20%)</t>
  </si>
  <si>
    <t>0-No Additional Value</t>
  </si>
  <si>
    <t>100%-Has Value Addition(s)</t>
  </si>
  <si>
    <t>Is the solution having value additions that translates to business value?</t>
  </si>
  <si>
    <t>Spring (Dependency Injection, MVC, Boot)</t>
  </si>
  <si>
    <t>Strengths in Technical Skills (Viva Voce - where Depth is expected)</t>
  </si>
  <si>
    <t>Justifying the submission</t>
  </si>
  <si>
    <t>0-Not Able to Justify the Work</t>
  </si>
  <si>
    <t>1-Able to Justify the Work</t>
  </si>
  <si>
    <t>Section Score (10%)</t>
  </si>
  <si>
    <t>Core Java (Topics: Java 8 Features, Collections, I/O, JDBC, Multithreading)
Rating scale (0-5; 0-being lowest, 5-being highest)</t>
  </si>
  <si>
    <t>Are the Non-functional requirements impemented? (Usability, Security, Localization etc.)</t>
  </si>
  <si>
    <t>Results</t>
  </si>
  <si>
    <t>Overall Score</t>
  </si>
  <si>
    <t>Status</t>
  </si>
  <si>
    <t>#</t>
  </si>
  <si>
    <t>Functionalities Completed?
Note: Check if the project is working and meeting the intended purpose based on user story</t>
  </si>
  <si>
    <t>Technical Features Implemented correctly?
Note: Are the features picked and used correctly in coding, for the user story? Ex: Exception Handling</t>
  </si>
  <si>
    <t>Basic Coding Disciplines</t>
  </si>
  <si>
    <t>Comments, Closing Resources after use, Exception Handling, Maintainable Code</t>
  </si>
  <si>
    <t>Revision History</t>
  </si>
  <si>
    <t>Version #</t>
  </si>
  <si>
    <t>Sections Modified</t>
  </si>
  <si>
    <t>Modified By</t>
  </si>
  <si>
    <t>Modified Date</t>
  </si>
  <si>
    <t>Comments</t>
  </si>
  <si>
    <t>All</t>
  </si>
  <si>
    <t>Srilakshmi Jayaraman (222805)</t>
  </si>
  <si>
    <t>Initial Release</t>
  </si>
  <si>
    <t>This sheet has to be filled by the Technical SME during the Final Project Presentation</t>
  </si>
  <si>
    <t xml:space="preserve">The Project Demo Checklist contains a list of questions designed to evaluate the understanding of GenC related to the Project requirements and also to validate their technical knowledge. This checklist needs to be filled during the final project demo presented by the GenC of each project. </t>
  </si>
  <si>
    <t>Color Coding</t>
  </si>
  <si>
    <t>To be filled in by Tech SME</t>
  </si>
  <si>
    <t>The Tech SME must fill in only the columns filled in Blue color. Rest all is auto populated based on rubrics defined by Academy GEN C Solutions Team</t>
  </si>
  <si>
    <t>MFRP - Score Card based on Project Demo and Viva Voce</t>
  </si>
  <si>
    <t>Best Practices Score 
Note: Please score based on checkpoints in Best Practices Sheet. (If all of the checkpoints are covered, 1, 0 otherwise)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</si>
</sst>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m\-yy"/>
    <numFmt numFmtId="165" formatCode="0.0"/>
  </numFmts>
  <fonts count="26" x14ac:knownFonts="1">
    <font>
      <sz val="11"/>
      <color theme="1"/>
      <name val="Calibri"/>
      <family val="2"/>
      <scheme val="minor"/>
    </font>
    <font>
      <sz val="10"/>
      <name val="Arial"/>
      <family val="2"/>
    </font>
    <font>
      <b/>
      <sz val="14"/>
      <name val="Arial"/>
      <family val="2"/>
    </font>
    <font>
      <b/>
      <sz val="20"/>
      <color indexed="18"/>
      <name val="Arial"/>
      <family val="2"/>
    </font>
    <font>
      <u/>
      <sz val="11"/>
      <name val="Arial"/>
      <family val="2"/>
    </font>
    <font>
      <b/>
      <sz val="10"/>
      <color indexed="8"/>
      <name val="Arial"/>
      <family val="2"/>
    </font>
    <font>
      <b/>
      <sz val="10"/>
      <name val="Arial"/>
      <family val="2"/>
    </font>
    <font>
      <i/>
      <sz val="10"/>
      <name val="Arial"/>
      <family val="2"/>
    </font>
    <font>
      <sz val="9"/>
      <color indexed="23"/>
      <name val="Arial"/>
      <family val="2"/>
    </font>
    <font>
      <b/>
      <i/>
      <sz val="10"/>
      <name val="Arial"/>
      <family val="2"/>
    </font>
    <font>
      <sz val="11"/>
      <color theme="1"/>
      <name val="Cambria"/>
      <family val="1"/>
    </font>
    <font>
      <b/>
      <sz val="13"/>
      <color indexed="16"/>
      <name val="Arial"/>
      <family val="2"/>
    </font>
    <font>
      <b/>
      <sz val="10"/>
      <color indexed="16"/>
      <name val="Arial"/>
      <family val="2"/>
    </font>
    <font>
      <b/>
      <sz val="10"/>
      <color theme="0"/>
      <name val="Arial"/>
      <family val="2"/>
    </font>
    <font>
      <sz val="10"/>
      <color theme="0"/>
      <name val="Arial"/>
      <family val="2"/>
    </font>
    <font>
      <b/>
      <sz val="11"/>
      <color theme="0"/>
      <name val="Calibri"/>
      <family val="2"/>
      <scheme val="minor"/>
    </font>
    <font>
      <sz val="10"/>
      <color theme="1"/>
      <name val="Calibri"/>
      <family val="2"/>
      <scheme val="minor"/>
    </font>
    <font>
      <sz val="12"/>
      <color theme="1"/>
      <name val="Calibri"/>
      <family val="2"/>
      <scheme val="minor"/>
    </font>
    <font>
      <b/>
      <sz val="10"/>
      <color theme="0"/>
      <name val="Times New Roman"/>
      <family val="1"/>
    </font>
    <font>
      <b/>
      <sz val="10"/>
      <color theme="1"/>
      <name val="Times New Roman"/>
      <family val="1"/>
    </font>
    <font>
      <sz val="10"/>
      <name val="Times New Roman"/>
      <family val="1"/>
    </font>
    <font>
      <b/>
      <sz val="10"/>
      <color theme="0"/>
      <name val="Calibri"/>
      <family val="2"/>
      <scheme val="minor"/>
    </font>
    <font>
      <sz val="14"/>
      <color theme="0"/>
      <name val="Calibri"/>
      <family val="2"/>
      <scheme val="minor"/>
    </font>
    <font>
      <b/>
      <sz val="12"/>
      <color theme="7"/>
      <name val="Calibri"/>
      <family val="2"/>
      <scheme val="minor"/>
    </font>
    <font>
      <sz val="9"/>
      <name val="Calibri"/>
      <family val="2"/>
      <scheme val="minor"/>
    </font>
    <font>
      <sz val="11"/>
      <color theme="0"/>
      <name val="Cambria"/>
      <family val="1"/>
    </font>
  </fonts>
  <fills count="11">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5" tint="0.59999389629810485"/>
        <bgColor indexed="64"/>
      </patternFill>
    </fill>
    <fill>
      <patternFill patternType="solid">
        <fgColor theme="0"/>
        <bgColor indexed="64"/>
      </patternFill>
    </fill>
    <fill>
      <patternFill patternType="solid">
        <fgColor rgb="FF002060"/>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theme="0" tint="-0.14999847407452621"/>
        <bgColor indexed="64"/>
      </patternFill>
    </fill>
    <fill>
      <patternFill patternType="solid">
        <fgColor theme="8"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right/>
      <top/>
      <bottom style="thick">
        <color indexed="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1" fillId="0" borderId="0"/>
  </cellStyleXfs>
  <cellXfs count="94">
    <xf numFmtId="0" fontId="0" fillId="0" borderId="0" xfId="0"/>
    <xf numFmtId="0" fontId="1" fillId="2" borderId="0" xfId="1" applyFill="1" applyBorder="1"/>
    <xf numFmtId="0" fontId="2" fillId="2" borderId="0" xfId="1" applyFont="1" applyFill="1" applyBorder="1"/>
    <xf numFmtId="0" fontId="1" fillId="2" borderId="0" xfId="1" applyFill="1" applyBorder="1" applyAlignment="1">
      <alignment horizontal="center"/>
    </xf>
    <xf numFmtId="0" fontId="1" fillId="2" borderId="0" xfId="1" applyFill="1"/>
    <xf numFmtId="0" fontId="2" fillId="2" borderId="2" xfId="1" applyFont="1" applyFill="1" applyBorder="1"/>
    <xf numFmtId="0" fontId="2" fillId="2" borderId="3" xfId="1" applyFont="1" applyFill="1" applyBorder="1"/>
    <xf numFmtId="0" fontId="1" fillId="2" borderId="3" xfId="1" applyFill="1" applyBorder="1"/>
    <xf numFmtId="0" fontId="1" fillId="2" borderId="4" xfId="1" applyFill="1" applyBorder="1" applyAlignment="1">
      <alignment horizontal="center"/>
    </xf>
    <xf numFmtId="0" fontId="2" fillId="2" borderId="5" xfId="1" applyFont="1" applyFill="1" applyBorder="1"/>
    <xf numFmtId="0" fontId="1" fillId="2" borderId="6" xfId="1" applyFill="1" applyBorder="1" applyAlignment="1">
      <alignment horizontal="center"/>
    </xf>
    <xf numFmtId="0" fontId="1" fillId="2" borderId="5" xfId="1" applyFill="1" applyBorder="1" applyAlignment="1">
      <alignment horizontal="center"/>
    </xf>
    <xf numFmtId="0" fontId="1" fillId="2" borderId="6" xfId="1" applyFill="1" applyBorder="1"/>
    <xf numFmtId="0" fontId="1" fillId="2" borderId="5" xfId="1" applyFill="1" applyBorder="1"/>
    <xf numFmtId="0" fontId="1" fillId="2" borderId="0" xfId="1" applyFont="1" applyFill="1" applyBorder="1"/>
    <xf numFmtId="0" fontId="1" fillId="0" borderId="0" xfId="1"/>
    <xf numFmtId="49" fontId="5" fillId="3" borderId="1" xfId="1" applyNumberFormat="1" applyFont="1" applyFill="1" applyBorder="1" applyAlignment="1">
      <alignment horizontal="center" vertical="center" wrapText="1"/>
    </xf>
    <xf numFmtId="0" fontId="6" fillId="3" borderId="1" xfId="1" applyFont="1" applyFill="1" applyBorder="1" applyAlignment="1">
      <alignment horizontal="justify" vertical="center" wrapText="1"/>
    </xf>
    <xf numFmtId="0" fontId="1" fillId="2" borderId="1" xfId="1" applyFont="1" applyFill="1" applyBorder="1" applyAlignment="1" applyProtection="1">
      <alignment horizontal="center" vertical="center" wrapText="1"/>
      <protection locked="0"/>
    </xf>
    <xf numFmtId="0" fontId="1" fillId="2" borderId="1" xfId="1" applyFont="1" applyFill="1" applyBorder="1" applyAlignment="1" applyProtection="1">
      <alignment horizontal="justify" vertical="center" wrapText="1"/>
      <protection locked="0"/>
    </xf>
    <xf numFmtId="164" fontId="1" fillId="2" borderId="1" xfId="1" applyNumberFormat="1" applyFont="1" applyFill="1" applyBorder="1" applyAlignment="1" applyProtection="1">
      <alignment horizontal="justify" vertical="center" wrapText="1"/>
      <protection locked="0"/>
    </xf>
    <xf numFmtId="0" fontId="7" fillId="2" borderId="0" xfId="1" applyFont="1" applyFill="1" applyBorder="1" applyAlignment="1">
      <alignment vertical="top"/>
    </xf>
    <xf numFmtId="14" fontId="7" fillId="2" borderId="0" xfId="1" applyNumberFormat="1" applyFont="1" applyFill="1" applyBorder="1" applyAlignment="1">
      <alignment horizontal="left"/>
    </xf>
    <xf numFmtId="0" fontId="7" fillId="2" borderId="6" xfId="1" applyFont="1" applyFill="1" applyBorder="1" applyAlignment="1">
      <alignment horizontal="center" vertical="top"/>
    </xf>
    <xf numFmtId="0" fontId="7" fillId="2" borderId="0" xfId="1" applyFont="1" applyFill="1" applyAlignment="1">
      <alignment vertical="top"/>
    </xf>
    <xf numFmtId="0" fontId="8" fillId="2" borderId="5" xfId="1" applyFont="1" applyFill="1" applyBorder="1"/>
    <xf numFmtId="0" fontId="6" fillId="2" borderId="0" xfId="1" applyFont="1" applyFill="1" applyBorder="1"/>
    <xf numFmtId="0" fontId="8" fillId="2" borderId="0" xfId="1" applyFont="1" applyFill="1" applyBorder="1"/>
    <xf numFmtId="0" fontId="7" fillId="2" borderId="6" xfId="1" applyFont="1" applyFill="1" applyBorder="1" applyAlignment="1">
      <alignment vertical="top"/>
    </xf>
    <xf numFmtId="0" fontId="6" fillId="2" borderId="5" xfId="1" applyFont="1" applyFill="1" applyBorder="1"/>
    <xf numFmtId="0" fontId="7" fillId="2" borderId="0" xfId="1" applyFont="1" applyFill="1" applyBorder="1" applyAlignment="1">
      <alignment horizontal="center"/>
    </xf>
    <xf numFmtId="0" fontId="1" fillId="2" borderId="0" xfId="1" applyFont="1" applyFill="1" applyBorder="1" applyAlignment="1">
      <alignment horizontal="center"/>
    </xf>
    <xf numFmtId="0" fontId="1" fillId="2" borderId="6" xfId="1" applyFont="1" applyFill="1" applyBorder="1" applyAlignment="1">
      <alignment horizontal="center"/>
    </xf>
    <xf numFmtId="0" fontId="8" fillId="2" borderId="7" xfId="1" applyFont="1" applyFill="1" applyBorder="1"/>
    <xf numFmtId="0" fontId="6" fillId="2" borderId="8" xfId="1" applyFont="1" applyFill="1" applyBorder="1"/>
    <xf numFmtId="0" fontId="1" fillId="2" borderId="8" xfId="1" applyFill="1" applyBorder="1"/>
    <xf numFmtId="0" fontId="8" fillId="2" borderId="8" xfId="1" applyFont="1" applyFill="1" applyBorder="1"/>
    <xf numFmtId="0" fontId="1" fillId="2" borderId="9" xfId="1" applyFill="1" applyBorder="1" applyAlignment="1">
      <alignment horizontal="center"/>
    </xf>
    <xf numFmtId="0" fontId="1" fillId="2" borderId="0" xfId="1" applyFont="1" applyFill="1"/>
    <xf numFmtId="0" fontId="1" fillId="2" borderId="0" xfId="1" applyFill="1" applyAlignment="1">
      <alignment horizontal="center"/>
    </xf>
    <xf numFmtId="0" fontId="9" fillId="2" borderId="0" xfId="1" applyFont="1" applyFill="1" applyAlignment="1">
      <alignment vertical="top"/>
    </xf>
    <xf numFmtId="0" fontId="6" fillId="2" borderId="0" xfId="1" applyFont="1" applyFill="1" applyAlignment="1">
      <alignment vertical="top"/>
    </xf>
    <xf numFmtId="0" fontId="6" fillId="2" borderId="0" xfId="1" applyFont="1" applyFill="1"/>
    <xf numFmtId="0" fontId="7" fillId="2" borderId="0" xfId="1" applyFont="1" applyFill="1"/>
    <xf numFmtId="164" fontId="1" fillId="2" borderId="1" xfId="1" applyNumberFormat="1" applyFont="1" applyFill="1" applyBorder="1" applyAlignment="1" applyProtection="1">
      <alignment horizontal="center" vertical="center" wrapText="1"/>
      <protection locked="0"/>
    </xf>
    <xf numFmtId="0" fontId="10" fillId="4" borderId="1" xfId="0" applyFont="1" applyFill="1" applyBorder="1" applyAlignment="1">
      <alignment horizontal="left" vertical="center" wrapText="1"/>
    </xf>
    <xf numFmtId="0" fontId="0" fillId="0" borderId="1" xfId="0" applyBorder="1"/>
    <xf numFmtId="0" fontId="1" fillId="0" borderId="10" xfId="2" applyFont="1" applyFill="1" applyBorder="1" applyAlignment="1">
      <alignment horizontal="justify" vertical="center" wrapText="1"/>
    </xf>
    <xf numFmtId="0" fontId="1" fillId="5" borderId="10" xfId="2" applyFont="1" applyFill="1" applyBorder="1" applyAlignment="1">
      <alignment horizontal="justify" vertical="center" wrapText="1"/>
    </xf>
    <xf numFmtId="0" fontId="1" fillId="2" borderId="0" xfId="2" applyFont="1" applyFill="1" applyBorder="1"/>
    <xf numFmtId="0" fontId="1" fillId="2" borderId="0" xfId="2" applyFont="1" applyFill="1"/>
    <xf numFmtId="0" fontId="1" fillId="2" borderId="0" xfId="2" applyFont="1" applyFill="1" applyAlignment="1">
      <alignment horizontal="center"/>
    </xf>
    <xf numFmtId="0" fontId="1" fillId="5" borderId="1" xfId="2" applyFont="1" applyFill="1" applyBorder="1" applyAlignment="1">
      <alignment vertical="top" wrapText="1"/>
    </xf>
    <xf numFmtId="0" fontId="16" fillId="0" borderId="0" xfId="0" applyFont="1" applyAlignment="1">
      <alignment horizontal="center"/>
    </xf>
    <xf numFmtId="0" fontId="0" fillId="0" borderId="1" xfId="0" applyBorder="1" applyAlignment="1">
      <alignment wrapText="1"/>
    </xf>
    <xf numFmtId="0" fontId="17" fillId="0" borderId="0" xfId="0" applyFont="1"/>
    <xf numFmtId="0" fontId="0" fillId="0" borderId="0" xfId="0" applyAlignment="1">
      <alignment wrapText="1"/>
    </xf>
    <xf numFmtId="0" fontId="17" fillId="0" borderId="0" xfId="0" applyFont="1" applyAlignment="1">
      <alignment vertical="center"/>
    </xf>
    <xf numFmtId="0" fontId="18" fillId="7" borderId="1" xfId="0" applyFont="1" applyFill="1" applyBorder="1" applyAlignment="1">
      <alignment horizontal="left" vertical="top"/>
    </xf>
    <xf numFmtId="0" fontId="18" fillId="7" borderId="1" xfId="0" applyFont="1" applyFill="1" applyBorder="1" applyAlignment="1">
      <alignment horizontal="left" vertical="top" wrapText="1"/>
    </xf>
    <xf numFmtId="0" fontId="0" fillId="0" borderId="0" xfId="0" applyAlignment="1">
      <alignment horizontal="left" vertical="top"/>
    </xf>
    <xf numFmtId="0" fontId="20" fillId="0" borderId="1" xfId="0" applyFont="1" applyFill="1" applyBorder="1" applyAlignment="1">
      <alignment horizontal="left" vertical="top" wrapText="1"/>
    </xf>
    <xf numFmtId="0" fontId="3" fillId="2" borderId="5" xfId="1" applyFont="1" applyFill="1" applyBorder="1" applyAlignment="1" applyProtection="1">
      <alignment horizontal="center" vertical="center" wrapText="1"/>
      <protection locked="0"/>
    </xf>
    <xf numFmtId="0" fontId="3" fillId="2" borderId="0" xfId="1" applyFont="1" applyFill="1" applyBorder="1" applyAlignment="1" applyProtection="1">
      <alignment horizontal="center" vertical="center" wrapText="1"/>
      <protection locked="0"/>
    </xf>
    <xf numFmtId="0" fontId="3" fillId="2" borderId="6" xfId="1" applyFont="1" applyFill="1" applyBorder="1" applyAlignment="1" applyProtection="1">
      <alignment horizontal="center" vertical="center" wrapText="1"/>
      <protection locked="0"/>
    </xf>
    <xf numFmtId="0" fontId="4" fillId="2" borderId="5" xfId="1" applyFont="1" applyFill="1" applyBorder="1" applyAlignment="1">
      <alignment horizontal="left"/>
    </xf>
    <xf numFmtId="0" fontId="1" fillId="2" borderId="0" xfId="1" applyFill="1" applyBorder="1" applyAlignment="1">
      <alignment horizontal="left"/>
    </xf>
    <xf numFmtId="0" fontId="1" fillId="2" borderId="6" xfId="1" applyFill="1" applyBorder="1" applyAlignment="1">
      <alignment horizontal="left"/>
    </xf>
    <xf numFmtId="0" fontId="11" fillId="0" borderId="10" xfId="2" applyFont="1" applyFill="1" applyBorder="1" applyAlignment="1">
      <alignment vertical="center" wrapText="1"/>
    </xf>
    <xf numFmtId="0" fontId="12" fillId="0" borderId="10" xfId="2" applyFont="1" applyFill="1" applyBorder="1" applyAlignment="1">
      <alignment vertical="center" wrapText="1"/>
    </xf>
    <xf numFmtId="0" fontId="13" fillId="6" borderId="1" xfId="2" applyFont="1" applyFill="1" applyBorder="1" applyAlignment="1">
      <alignment horizontal="center" vertical="center" wrapText="1"/>
    </xf>
    <xf numFmtId="0" fontId="14" fillId="6" borderId="1" xfId="2" applyFont="1" applyFill="1" applyBorder="1" applyAlignment="1">
      <alignment horizontal="center" vertical="center"/>
    </xf>
    <xf numFmtId="0" fontId="1" fillId="2" borderId="1" xfId="2" applyFont="1" applyFill="1" applyBorder="1" applyAlignment="1">
      <alignment horizontal="left" vertical="top" wrapText="1"/>
    </xf>
    <xf numFmtId="0" fontId="1" fillId="0" borderId="1" xfId="2" applyFont="1" applyBorder="1" applyAlignment="1">
      <alignment horizontal="left" vertical="top" wrapText="1"/>
    </xf>
    <xf numFmtId="0" fontId="1" fillId="2" borderId="11" xfId="2" applyFont="1" applyFill="1" applyBorder="1" applyAlignment="1">
      <alignment horizontal="left" wrapText="1"/>
    </xf>
    <xf numFmtId="0" fontId="1" fillId="2" borderId="12" xfId="2" applyFont="1" applyFill="1" applyBorder="1" applyAlignment="1">
      <alignment horizontal="left" wrapText="1"/>
    </xf>
    <xf numFmtId="0" fontId="19" fillId="9" borderId="11" xfId="0" applyFont="1" applyFill="1" applyBorder="1" applyAlignment="1">
      <alignment horizontal="center" vertical="top" wrapText="1"/>
    </xf>
    <xf numFmtId="0" fontId="19" fillId="9" borderId="13" xfId="0" applyFont="1" applyFill="1" applyBorder="1" applyAlignment="1">
      <alignment horizontal="center" vertical="top" wrapText="1"/>
    </xf>
    <xf numFmtId="0" fontId="15" fillId="8" borderId="14" xfId="0" applyFont="1" applyFill="1" applyBorder="1" applyAlignment="1">
      <alignment horizontal="center"/>
    </xf>
    <xf numFmtId="0" fontId="23" fillId="10" borderId="14" xfId="0" applyFont="1" applyFill="1" applyBorder="1" applyAlignment="1">
      <alignment horizontal="center"/>
    </xf>
    <xf numFmtId="0" fontId="21" fillId="10" borderId="1" xfId="0" applyFont="1" applyFill="1" applyBorder="1" applyAlignment="1">
      <alignment wrapText="1"/>
    </xf>
    <xf numFmtId="165" fontId="24" fillId="0" borderId="1" xfId="0" applyNumberFormat="1" applyFont="1" applyFill="1" applyBorder="1"/>
    <xf numFmtId="0" fontId="24" fillId="0" borderId="1" xfId="0" applyFont="1" applyFill="1" applyBorder="1"/>
    <xf numFmtId="0" fontId="24" fillId="0" borderId="1" xfId="0" applyFont="1" applyFill="1" applyBorder="1" applyAlignment="1">
      <alignment wrapText="1"/>
    </xf>
    <xf numFmtId="15" fontId="24" fillId="0" borderId="1" xfId="0" applyNumberFormat="1" applyFont="1" applyFill="1" applyBorder="1" applyAlignment="1">
      <alignment wrapText="1"/>
    </xf>
    <xf numFmtId="0" fontId="25" fillId="10" borderId="1" xfId="0" applyFont="1" applyFill="1" applyBorder="1" applyAlignment="1">
      <alignment horizontal="left" vertical="center" wrapText="1"/>
    </xf>
    <xf numFmtId="0" fontId="22" fillId="7" borderId="0" xfId="0" applyFont="1" applyFill="1" applyAlignment="1">
      <alignment horizontal="left"/>
    </xf>
    <xf numFmtId="0" fontId="0" fillId="0" borderId="16" xfId="0" applyBorder="1"/>
    <xf numFmtId="0" fontId="0" fillId="0" borderId="16" xfId="0" applyBorder="1" applyAlignment="1">
      <alignment wrapText="1"/>
    </xf>
    <xf numFmtId="0" fontId="21" fillId="7" borderId="15" xfId="0" applyFont="1" applyFill="1" applyBorder="1" applyAlignment="1">
      <alignment horizontal="center"/>
    </xf>
    <xf numFmtId="0" fontId="21" fillId="7" borderId="15" xfId="0" applyFont="1" applyFill="1" applyBorder="1" applyAlignment="1">
      <alignment horizontal="center" wrapText="1"/>
    </xf>
    <xf numFmtId="0" fontId="21" fillId="10" borderId="15" xfId="0" applyFont="1" applyFill="1" applyBorder="1" applyAlignment="1">
      <alignment horizontal="center" wrapText="1"/>
    </xf>
    <xf numFmtId="0" fontId="21" fillId="7" borderId="15" xfId="0" applyFont="1" applyFill="1" applyBorder="1" applyAlignment="1">
      <alignment horizontal="center"/>
    </xf>
    <xf numFmtId="0" fontId="21" fillId="7" borderId="15" xfId="0" applyFont="1" applyFill="1" applyBorder="1" applyAlignment="1">
      <alignment horizontal="center" wrapText="1"/>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1390650" y="457200"/>
          <a:ext cx="63246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a:extLst>
            <a:ext uri="{FF2B5EF4-FFF2-40B4-BE49-F238E27FC236}">
              <a16:creationId xmlns:a16="http://schemas.microsoft.com/office/drawing/2014/main" id="{00000000-0008-0000-0000-000003000000}"/>
            </a:ext>
          </a:extLst>
        </xdr:cNvPr>
        <xdr:cNvSpPr>
          <a:spLocks noChangeShapeType="1"/>
        </xdr:cNvSpPr>
      </xdr:nvSpPr>
      <xdr:spPr bwMode="auto">
        <a:xfrm>
          <a:off x="304800" y="4381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a:extLst>
            <a:ext uri="{FF2B5EF4-FFF2-40B4-BE49-F238E27FC236}">
              <a16:creationId xmlns:a16="http://schemas.microsoft.com/office/drawing/2014/main" id="{00000000-0008-0000-0000-000004000000}"/>
            </a:ext>
          </a:extLst>
        </xdr:cNvPr>
        <xdr:cNvSpPr>
          <a:spLocks noChangeShapeType="1"/>
        </xdr:cNvSpPr>
      </xdr:nvSpPr>
      <xdr:spPr bwMode="auto">
        <a:xfrm>
          <a:off x="304800" y="6667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5" name="Picture 5">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9048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504825</xdr:colOff>
      <xdr:row>25</xdr:row>
      <xdr:rowOff>142875</xdr:rowOff>
    </xdr:from>
    <xdr:to>
      <xdr:col>5</xdr:col>
      <xdr:colOff>581025</xdr:colOff>
      <xdr:row>26</xdr:row>
      <xdr:rowOff>133350</xdr:rowOff>
    </xdr:to>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562225" y="7439025"/>
          <a:ext cx="269557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1390650" y="457200"/>
          <a:ext cx="63246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a:extLst>
            <a:ext uri="{FF2B5EF4-FFF2-40B4-BE49-F238E27FC236}">
              <a16:creationId xmlns:a16="http://schemas.microsoft.com/office/drawing/2014/main" id="{00000000-0008-0000-0000-000008000000}"/>
            </a:ext>
          </a:extLst>
        </xdr:cNvPr>
        <xdr:cNvSpPr>
          <a:spLocks noChangeShapeType="1"/>
        </xdr:cNvSpPr>
      </xdr:nvSpPr>
      <xdr:spPr bwMode="auto">
        <a:xfrm>
          <a:off x="304800" y="4381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a:extLst>
            <a:ext uri="{FF2B5EF4-FFF2-40B4-BE49-F238E27FC236}">
              <a16:creationId xmlns:a16="http://schemas.microsoft.com/office/drawing/2014/main" id="{00000000-0008-0000-0000-000009000000}"/>
            </a:ext>
          </a:extLst>
        </xdr:cNvPr>
        <xdr:cNvSpPr>
          <a:spLocks noChangeShapeType="1"/>
        </xdr:cNvSpPr>
      </xdr:nvSpPr>
      <xdr:spPr bwMode="auto">
        <a:xfrm>
          <a:off x="304800" y="6667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10" name="Picture 11">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9048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a:extLst>
            <a:ext uri="{FF2B5EF4-FFF2-40B4-BE49-F238E27FC236}">
              <a16:creationId xmlns:a16="http://schemas.microsoft.com/office/drawing/2014/main" id="{00000000-0008-0000-0000-00000B000000}"/>
            </a:ext>
          </a:extLst>
        </xdr:cNvPr>
        <xdr:cNvSpPr txBox="1">
          <a:spLocks noChangeArrowheads="1"/>
        </xdr:cNvSpPr>
      </xdr:nvSpPr>
      <xdr:spPr bwMode="auto">
        <a:xfrm>
          <a:off x="1390650" y="457200"/>
          <a:ext cx="63246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a:extLst>
            <a:ext uri="{FF2B5EF4-FFF2-40B4-BE49-F238E27FC236}">
              <a16:creationId xmlns:a16="http://schemas.microsoft.com/office/drawing/2014/main" id="{00000000-0008-0000-0000-00000C000000}"/>
            </a:ext>
          </a:extLst>
        </xdr:cNvPr>
        <xdr:cNvSpPr>
          <a:spLocks noChangeShapeType="1"/>
        </xdr:cNvSpPr>
      </xdr:nvSpPr>
      <xdr:spPr bwMode="auto">
        <a:xfrm>
          <a:off x="304800" y="4381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a:extLst>
            <a:ext uri="{FF2B5EF4-FFF2-40B4-BE49-F238E27FC236}">
              <a16:creationId xmlns:a16="http://schemas.microsoft.com/office/drawing/2014/main" id="{00000000-0008-0000-0000-00000D000000}"/>
            </a:ext>
          </a:extLst>
        </xdr:cNvPr>
        <xdr:cNvSpPr>
          <a:spLocks noChangeShapeType="1"/>
        </xdr:cNvSpPr>
      </xdr:nvSpPr>
      <xdr:spPr bwMode="auto">
        <a:xfrm>
          <a:off x="304800" y="6667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14" name="Picture 17">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9048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a:extLst>
            <a:ext uri="{FF2B5EF4-FFF2-40B4-BE49-F238E27FC236}">
              <a16:creationId xmlns:a16="http://schemas.microsoft.com/office/drawing/2014/main" id="{00000000-0008-0000-0000-00000F000000}"/>
            </a:ext>
          </a:extLst>
        </xdr:cNvPr>
        <xdr:cNvSpPr txBox="1">
          <a:spLocks noChangeArrowheads="1"/>
        </xdr:cNvSpPr>
      </xdr:nvSpPr>
      <xdr:spPr bwMode="auto">
        <a:xfrm>
          <a:off x="1390650" y="457200"/>
          <a:ext cx="6324600" cy="228600"/>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314325</xdr:colOff>
      <xdr:row>7</xdr:row>
      <xdr:rowOff>19050</xdr:rowOff>
    </xdr:from>
    <xdr:to>
      <xdr:col>6</xdr:col>
      <xdr:colOff>847725</xdr:colOff>
      <xdr:row>14</xdr:row>
      <xdr:rowOff>9525</xdr:rowOff>
    </xdr:to>
    <xdr:pic>
      <xdr:nvPicPr>
        <xdr:cNvPr id="16" name="Picture 20" descr="content">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52499" b="83333"/>
        <a:stretch>
          <a:fillRect/>
        </a:stretch>
      </xdr:blipFill>
      <xdr:spPr bwMode="auto">
        <a:xfrm>
          <a:off x="619125" y="3800475"/>
          <a:ext cx="67532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a:extLst>
            <a:ext uri="{FF2B5EF4-FFF2-40B4-BE49-F238E27FC236}">
              <a16:creationId xmlns:a16="http://schemas.microsoft.com/office/drawing/2014/main" id="{00000000-0008-0000-0000-000011000000}"/>
            </a:ext>
          </a:extLst>
        </xdr:cNvPr>
        <xdr:cNvSpPr>
          <a:spLocks noChangeShapeType="1"/>
        </xdr:cNvSpPr>
      </xdr:nvSpPr>
      <xdr:spPr bwMode="auto">
        <a:xfrm>
          <a:off x="304800" y="4381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a:extLst>
            <a:ext uri="{FF2B5EF4-FFF2-40B4-BE49-F238E27FC236}">
              <a16:creationId xmlns:a16="http://schemas.microsoft.com/office/drawing/2014/main" id="{00000000-0008-0000-0000-000012000000}"/>
            </a:ext>
          </a:extLst>
        </xdr:cNvPr>
        <xdr:cNvSpPr>
          <a:spLocks noChangeShapeType="1"/>
        </xdr:cNvSpPr>
      </xdr:nvSpPr>
      <xdr:spPr bwMode="auto">
        <a:xfrm>
          <a:off x="304800" y="666750"/>
          <a:ext cx="74104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114300</xdr:colOff>
      <xdr:row>1</xdr:row>
      <xdr:rowOff>85725</xdr:rowOff>
    </xdr:from>
    <xdr:to>
      <xdr:col>2</xdr:col>
      <xdr:colOff>38100</xdr:colOff>
      <xdr:row>3</xdr:row>
      <xdr:rowOff>76200</xdr:rowOff>
    </xdr:to>
    <xdr:pic>
      <xdr:nvPicPr>
        <xdr:cNvPr id="19" name="Picture 23">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323850"/>
          <a:ext cx="9048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47625</xdr:colOff>
      <xdr:row>23</xdr:row>
      <xdr:rowOff>133350</xdr:rowOff>
    </xdr:from>
    <xdr:to>
      <xdr:col>6</xdr:col>
      <xdr:colOff>1152525</xdr:colOff>
      <xdr:row>25</xdr:row>
      <xdr:rowOff>123825</xdr:rowOff>
    </xdr:to>
    <xdr:pic>
      <xdr:nvPicPr>
        <xdr:cNvPr id="20" name="Picture 27" descr="footer">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425" y="7105650"/>
          <a:ext cx="7324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0</xdr:col>
      <xdr:colOff>971550</xdr:colOff>
      <xdr:row>3</xdr:row>
      <xdr:rowOff>152400</xdr:rowOff>
    </xdr:to>
    <xdr:pic>
      <xdr:nvPicPr>
        <xdr:cNvPr id="2" name="Picture 4">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923925" cy="4762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16" workbookViewId="0">
      <selection activeCell="I8" sqref="I8"/>
    </sheetView>
  </sheetViews>
  <sheetFormatPr defaultColWidth="9.85546875" defaultRowHeight="12.75" x14ac:dyDescent="0.2"/>
  <cols>
    <col min="1" max="1" width="4.5703125" style="1" customWidth="1"/>
    <col min="2" max="2" width="14.7109375" style="4" customWidth="1"/>
    <col min="3" max="3" width="11.5703125" style="38" customWidth="1"/>
    <col min="4" max="4" width="19.5703125" style="4" customWidth="1"/>
    <col min="5" max="5" width="19.7109375" style="4" customWidth="1"/>
    <col min="6" max="6" width="27.7109375" style="4" customWidth="1"/>
    <col min="7" max="7" width="17.85546875" style="39" customWidth="1"/>
    <col min="8" max="16384" width="9.85546875" style="4"/>
  </cols>
  <sheetData>
    <row r="1" spans="2:8" ht="18.75" thickBot="1" x14ac:dyDescent="0.3">
      <c r="B1" s="2"/>
      <c r="C1" s="2"/>
      <c r="D1" s="1"/>
      <c r="E1" s="1"/>
      <c r="F1" s="1"/>
      <c r="G1" s="3"/>
    </row>
    <row r="2" spans="2:8" ht="18" x14ac:dyDescent="0.25">
      <c r="B2" s="5"/>
      <c r="C2" s="6"/>
      <c r="D2" s="7"/>
      <c r="E2" s="7"/>
      <c r="F2" s="7"/>
      <c r="G2" s="8"/>
    </row>
    <row r="3" spans="2:8" ht="18" x14ac:dyDescent="0.25">
      <c r="B3" s="9"/>
      <c r="C3" s="2"/>
      <c r="D3" s="1"/>
      <c r="E3" s="1"/>
      <c r="F3" s="1"/>
      <c r="G3" s="10"/>
    </row>
    <row r="4" spans="2:8" ht="18" x14ac:dyDescent="0.25">
      <c r="B4" s="9"/>
      <c r="C4" s="2"/>
      <c r="D4" s="1"/>
      <c r="E4" s="1"/>
      <c r="F4" s="1"/>
      <c r="G4" s="10"/>
    </row>
    <row r="5" spans="2:8" ht="29.25" customHeight="1" x14ac:dyDescent="0.2">
      <c r="B5" s="62" t="s">
        <v>9</v>
      </c>
      <c r="C5" s="63"/>
      <c r="D5" s="63"/>
      <c r="E5" s="63"/>
      <c r="F5" s="63"/>
      <c r="G5" s="64"/>
    </row>
    <row r="6" spans="2:8" ht="29.25" customHeight="1" x14ac:dyDescent="0.2">
      <c r="B6" s="62"/>
      <c r="C6" s="63"/>
      <c r="D6" s="63"/>
      <c r="E6" s="63"/>
      <c r="F6" s="63"/>
      <c r="G6" s="64"/>
    </row>
    <row r="7" spans="2:8" x14ac:dyDescent="0.2">
      <c r="B7" s="11"/>
      <c r="C7" s="3"/>
      <c r="D7" s="3"/>
      <c r="E7" s="3"/>
      <c r="F7" s="3"/>
      <c r="G7" s="12"/>
    </row>
    <row r="8" spans="2:8" x14ac:dyDescent="0.2">
      <c r="B8" s="13"/>
      <c r="C8" s="14"/>
      <c r="D8" s="1"/>
      <c r="E8" s="1"/>
      <c r="F8" s="1"/>
      <c r="G8" s="12"/>
    </row>
    <row r="9" spans="2:8" x14ac:dyDescent="0.2">
      <c r="B9" s="13"/>
      <c r="C9" s="14"/>
      <c r="D9" s="1"/>
      <c r="E9" s="1"/>
      <c r="F9" s="1"/>
      <c r="G9" s="12"/>
    </row>
    <row r="10" spans="2:8" x14ac:dyDescent="0.2">
      <c r="B10" s="13"/>
      <c r="C10" s="14"/>
      <c r="D10" s="1"/>
      <c r="E10" s="1"/>
      <c r="F10" s="1"/>
      <c r="G10" s="12"/>
    </row>
    <row r="11" spans="2:8" x14ac:dyDescent="0.2">
      <c r="B11" s="13"/>
      <c r="C11" s="14"/>
      <c r="D11" s="1"/>
      <c r="E11" s="1"/>
      <c r="F11" s="1"/>
      <c r="G11" s="12"/>
    </row>
    <row r="12" spans="2:8" x14ac:dyDescent="0.2">
      <c r="B12" s="13"/>
      <c r="C12" s="14"/>
      <c r="D12" s="1"/>
      <c r="E12" s="1"/>
      <c r="F12" s="1"/>
      <c r="G12" s="12"/>
    </row>
    <row r="13" spans="2:8" x14ac:dyDescent="0.2">
      <c r="B13" s="13"/>
      <c r="C13" s="14"/>
      <c r="D13" s="1"/>
      <c r="E13" s="1"/>
      <c r="F13" s="1"/>
      <c r="G13" s="12"/>
    </row>
    <row r="14" spans="2:8" ht="14.25" x14ac:dyDescent="0.2">
      <c r="B14" s="65"/>
      <c r="C14" s="66"/>
      <c r="D14" s="66"/>
      <c r="E14" s="66"/>
      <c r="F14" s="66"/>
      <c r="G14" s="67"/>
      <c r="H14" s="15"/>
    </row>
    <row r="15" spans="2:8" x14ac:dyDescent="0.2">
      <c r="B15" s="13"/>
      <c r="C15" s="14"/>
      <c r="D15" s="1"/>
      <c r="E15" s="1"/>
      <c r="F15" s="1"/>
      <c r="G15" s="12"/>
    </row>
    <row r="16" spans="2:8" x14ac:dyDescent="0.2">
      <c r="B16" s="13"/>
      <c r="C16" s="14"/>
      <c r="D16" s="1"/>
      <c r="E16" s="1"/>
      <c r="F16" s="1"/>
      <c r="G16" s="12"/>
    </row>
    <row r="17" spans="1:8" x14ac:dyDescent="0.2">
      <c r="B17" s="13"/>
      <c r="C17" s="14"/>
      <c r="D17" s="1"/>
      <c r="E17" s="1"/>
      <c r="F17" s="1"/>
      <c r="G17" s="12"/>
    </row>
    <row r="18" spans="1:8" ht="25.5" x14ac:dyDescent="0.2">
      <c r="B18" s="13"/>
      <c r="C18" s="16"/>
      <c r="D18" s="16" t="s">
        <v>0</v>
      </c>
      <c r="E18" s="16" t="s">
        <v>1</v>
      </c>
      <c r="F18" s="16" t="s">
        <v>2</v>
      </c>
      <c r="G18" s="10"/>
      <c r="H18" s="1"/>
    </row>
    <row r="19" spans="1:8" ht="28.5" customHeight="1" x14ac:dyDescent="0.2">
      <c r="B19" s="13"/>
      <c r="C19" s="17" t="s">
        <v>3</v>
      </c>
      <c r="D19" s="18" t="s">
        <v>10</v>
      </c>
      <c r="E19" s="18"/>
      <c r="F19" s="18"/>
      <c r="G19" s="10"/>
      <c r="H19" s="1"/>
    </row>
    <row r="20" spans="1:8" ht="21" customHeight="1" x14ac:dyDescent="0.2">
      <c r="B20" s="13"/>
      <c r="C20" s="17" t="s">
        <v>4</v>
      </c>
      <c r="D20" s="18"/>
      <c r="E20" s="18"/>
      <c r="F20" s="18"/>
      <c r="G20" s="10"/>
      <c r="H20" s="1"/>
    </row>
    <row r="21" spans="1:8" ht="21" customHeight="1" x14ac:dyDescent="0.2">
      <c r="B21" s="13"/>
      <c r="C21" s="17" t="s">
        <v>5</v>
      </c>
      <c r="D21" s="19"/>
      <c r="E21" s="19"/>
      <c r="F21" s="19"/>
      <c r="G21" s="10"/>
      <c r="H21" s="1"/>
    </row>
    <row r="22" spans="1:8" ht="21" customHeight="1" x14ac:dyDescent="0.2">
      <c r="B22" s="13"/>
      <c r="C22" s="17" t="s">
        <v>6</v>
      </c>
      <c r="D22" s="44">
        <v>43816</v>
      </c>
      <c r="E22" s="20"/>
      <c r="F22" s="20"/>
      <c r="G22" s="10"/>
      <c r="H22" s="1"/>
    </row>
    <row r="23" spans="1:8" s="24" customFormat="1" x14ac:dyDescent="0.2">
      <c r="A23" s="21"/>
      <c r="B23" s="13"/>
      <c r="C23" s="22"/>
      <c r="D23" s="1"/>
      <c r="E23" s="1"/>
      <c r="F23" s="21"/>
      <c r="G23" s="23"/>
    </row>
    <row r="24" spans="1:8" s="24" customFormat="1" x14ac:dyDescent="0.2">
      <c r="A24" s="21"/>
      <c r="B24" s="25"/>
      <c r="C24" s="26" t="s">
        <v>7</v>
      </c>
      <c r="D24" s="1"/>
      <c r="E24" s="1"/>
      <c r="F24" s="27"/>
      <c r="G24" s="28"/>
    </row>
    <row r="25" spans="1:8" s="24" customFormat="1" x14ac:dyDescent="0.2">
      <c r="A25" s="21"/>
      <c r="B25" s="29"/>
      <c r="C25" s="26"/>
      <c r="D25" s="1"/>
      <c r="E25" s="1"/>
      <c r="F25" s="21"/>
      <c r="G25" s="23"/>
    </row>
    <row r="26" spans="1:8" x14ac:dyDescent="0.2">
      <c r="B26" s="13"/>
      <c r="C26" s="30"/>
      <c r="D26" s="31"/>
      <c r="E26" s="31"/>
      <c r="F26" s="31"/>
      <c r="G26" s="32"/>
    </row>
    <row r="27" spans="1:8" ht="13.5" thickBot="1" x14ac:dyDescent="0.25">
      <c r="B27" s="33"/>
      <c r="C27" s="34"/>
      <c r="D27" s="35"/>
      <c r="E27" s="35"/>
      <c r="F27" s="36" t="s">
        <v>8</v>
      </c>
      <c r="G27" s="37"/>
    </row>
    <row r="28" spans="1:8" ht="12.75" customHeight="1" x14ac:dyDescent="0.2"/>
    <row r="29" spans="1:8" x14ac:dyDescent="0.2">
      <c r="B29" s="40"/>
      <c r="C29" s="41"/>
      <c r="D29" s="42"/>
    </row>
    <row r="30" spans="1:8" x14ac:dyDescent="0.2">
      <c r="B30" s="43"/>
    </row>
  </sheetData>
  <mergeCells count="2">
    <mergeCell ref="B5:G6"/>
    <mergeCell ref="B14:G1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election activeCell="C9" sqref="C9"/>
    </sheetView>
  </sheetViews>
  <sheetFormatPr defaultColWidth="9.85546875" defaultRowHeight="12.75" x14ac:dyDescent="0.2"/>
  <cols>
    <col min="1" max="1" width="15.7109375" style="49" customWidth="1"/>
    <col min="2" max="2" width="7.85546875" style="50" customWidth="1"/>
    <col min="3" max="3" width="41.42578125" style="50" customWidth="1"/>
    <col min="4" max="4" width="86.5703125" style="50" customWidth="1"/>
    <col min="5" max="5" width="15.85546875" style="50" customWidth="1"/>
    <col min="6" max="6" width="22.7109375" style="51" bestFit="1" customWidth="1"/>
    <col min="7" max="16384" width="9.85546875" style="50"/>
  </cols>
  <sheetData>
    <row r="1" spans="2:15" s="47" customFormat="1" ht="57" customHeight="1" thickBot="1" x14ac:dyDescent="0.3">
      <c r="B1" s="68" t="s">
        <v>13</v>
      </c>
      <c r="C1" s="69"/>
      <c r="D1" s="69"/>
      <c r="E1" s="69"/>
      <c r="F1" s="69"/>
      <c r="G1" s="69"/>
      <c r="H1" s="69"/>
      <c r="N1" s="48"/>
      <c r="O1" s="48"/>
    </row>
    <row r="2" spans="2:15" ht="13.5" thickTop="1" x14ac:dyDescent="0.2"/>
    <row r="3" spans="2:15" ht="3" customHeight="1" x14ac:dyDescent="0.2"/>
    <row r="4" spans="2:15" ht="29.1" customHeight="1" x14ac:dyDescent="0.2">
      <c r="C4" s="70" t="s">
        <v>9</v>
      </c>
      <c r="D4" s="71"/>
    </row>
    <row r="5" spans="2:15" x14ac:dyDescent="0.2">
      <c r="C5" s="74" t="s">
        <v>85</v>
      </c>
      <c r="D5" s="75"/>
    </row>
    <row r="6" spans="2:15" ht="45" customHeight="1" x14ac:dyDescent="0.2">
      <c r="C6" s="72" t="s">
        <v>86</v>
      </c>
      <c r="D6" s="73"/>
    </row>
    <row r="7" spans="2:15" ht="14.25" x14ac:dyDescent="0.2">
      <c r="C7" s="45" t="s">
        <v>87</v>
      </c>
      <c r="D7" s="52"/>
    </row>
    <row r="8" spans="2:15" ht="25.5" x14ac:dyDescent="0.2">
      <c r="C8" s="85" t="s">
        <v>88</v>
      </c>
      <c r="D8" s="52" t="s">
        <v>89</v>
      </c>
    </row>
    <row r="13" spans="2:15" ht="360.75" customHeight="1" x14ac:dyDescent="0.2"/>
    <row r="15" spans="2:15" ht="153" customHeight="1" x14ac:dyDescent="0.2"/>
    <row r="18" ht="33" customHeight="1" x14ac:dyDescent="0.2"/>
    <row r="19" ht="33" customHeight="1" x14ac:dyDescent="0.2"/>
    <row r="20" ht="25.5" customHeight="1" x14ac:dyDescent="0.2"/>
    <row r="21" ht="25.5" customHeight="1" x14ac:dyDescent="0.2"/>
    <row r="22" ht="18" customHeight="1" x14ac:dyDescent="0.2"/>
    <row r="23" ht="25.5" customHeight="1" x14ac:dyDescent="0.2"/>
    <row r="24" ht="25.5" customHeight="1" x14ac:dyDescent="0.2"/>
  </sheetData>
  <mergeCells count="4">
    <mergeCell ref="B1:H1"/>
    <mergeCell ref="C4:D4"/>
    <mergeCell ref="C6:D6"/>
    <mergeCell ref="C5:D5"/>
  </mergeCells>
  <dataValidations count="2">
    <dataValidation type="list" allowBlank="1" showInputMessage="1" showErrorMessage="1" sqref="H1">
      <formula1>"Functional, External Interface, User Interface,System Interface, Non functional"</formula1>
    </dataValidation>
    <dataValidation type="list" allowBlank="1" showInputMessage="1" showErrorMessage="1" sqref="D1:G1">
      <formula1>"Simple,Average,Complex"</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48564"/>
  <sheetViews>
    <sheetView tabSelected="1" workbookViewId="0">
      <selection activeCell="G5" sqref="G5"/>
    </sheetView>
  </sheetViews>
  <sheetFormatPr defaultRowHeight="15" x14ac:dyDescent="0.25"/>
  <cols>
    <col min="1" max="1" width="9.85546875" customWidth="1"/>
    <col min="2" max="3" width="17" customWidth="1"/>
    <col min="4" max="8" width="19.42578125" customWidth="1"/>
    <col min="9" max="12" width="30.85546875" customWidth="1"/>
    <col min="13" max="14" width="28" customWidth="1"/>
    <col min="15" max="15" width="30.85546875" customWidth="1"/>
    <col min="16" max="16" width="23.5703125" customWidth="1"/>
    <col min="17" max="18" width="27.28515625" customWidth="1"/>
    <col min="19" max="19" width="27.140625" customWidth="1"/>
    <col min="20" max="21" width="26.140625" customWidth="1"/>
    <col min="22" max="22" width="33.5703125" style="56" customWidth="1"/>
  </cols>
  <sheetData>
    <row r="1" spans="1:22" ht="36.75" customHeight="1" x14ac:dyDescent="0.3">
      <c r="A1" s="86" t="s">
        <v>90</v>
      </c>
      <c r="B1" s="86"/>
      <c r="C1" s="86"/>
      <c r="D1" s="86"/>
      <c r="E1" s="86"/>
      <c r="F1" s="86"/>
      <c r="G1" s="86"/>
      <c r="H1" s="86"/>
      <c r="I1" s="86"/>
      <c r="J1" s="86"/>
      <c r="K1" s="86"/>
      <c r="L1" s="86"/>
      <c r="M1" s="86"/>
      <c r="N1" s="86"/>
      <c r="O1" s="86"/>
      <c r="P1" s="86"/>
      <c r="Q1" s="86"/>
      <c r="R1" s="86"/>
      <c r="S1" s="86"/>
      <c r="T1" s="86"/>
      <c r="U1" s="86"/>
      <c r="V1" s="86"/>
    </row>
    <row r="2" spans="1:22" ht="16.5" customHeight="1" x14ac:dyDescent="0.25">
      <c r="A2" s="89" t="s">
        <v>71</v>
      </c>
      <c r="B2" s="89" t="s">
        <v>30</v>
      </c>
      <c r="C2" s="89"/>
      <c r="D2" s="89"/>
      <c r="E2" s="89"/>
      <c r="F2" s="89"/>
      <c r="G2" s="89" t="s">
        <v>68</v>
      </c>
      <c r="H2" s="89"/>
      <c r="I2" s="89" t="s">
        <v>31</v>
      </c>
      <c r="J2" s="89"/>
      <c r="K2" s="89"/>
      <c r="L2" s="89"/>
      <c r="M2" s="89" t="s">
        <v>32</v>
      </c>
      <c r="N2" s="89"/>
      <c r="O2" s="89"/>
      <c r="P2" s="90" t="s">
        <v>62</v>
      </c>
      <c r="Q2" s="90"/>
      <c r="R2" s="90"/>
      <c r="S2" s="89" t="s">
        <v>61</v>
      </c>
      <c r="T2" s="89"/>
      <c r="U2" s="89"/>
      <c r="V2" s="89"/>
    </row>
    <row r="3" spans="1:22" s="53" customFormat="1" ht="63.75" x14ac:dyDescent="0.2">
      <c r="A3" s="89"/>
      <c r="B3" s="91" t="s">
        <v>11</v>
      </c>
      <c r="C3" s="91" t="s">
        <v>14</v>
      </c>
      <c r="D3" s="91" t="s">
        <v>15</v>
      </c>
      <c r="E3" s="91" t="s">
        <v>29</v>
      </c>
      <c r="F3" s="91" t="s">
        <v>12</v>
      </c>
      <c r="G3" s="92" t="s">
        <v>69</v>
      </c>
      <c r="H3" s="92" t="s">
        <v>70</v>
      </c>
      <c r="I3" s="91" t="s">
        <v>72</v>
      </c>
      <c r="J3" s="91" t="s">
        <v>73</v>
      </c>
      <c r="K3" s="93" t="s">
        <v>91</v>
      </c>
      <c r="L3" s="93" t="s">
        <v>55</v>
      </c>
      <c r="M3" s="91" t="s">
        <v>67</v>
      </c>
      <c r="N3" s="91" t="s">
        <v>59</v>
      </c>
      <c r="O3" s="92" t="s">
        <v>65</v>
      </c>
      <c r="P3" s="91" t="s">
        <v>33</v>
      </c>
      <c r="Q3" s="91" t="s">
        <v>34</v>
      </c>
      <c r="R3" s="93" t="s">
        <v>56</v>
      </c>
      <c r="S3" s="91" t="s">
        <v>66</v>
      </c>
      <c r="T3" s="91" t="s">
        <v>60</v>
      </c>
      <c r="U3" s="93" t="s">
        <v>56</v>
      </c>
      <c r="V3" s="91" t="s">
        <v>16</v>
      </c>
    </row>
    <row r="4" spans="1:22" ht="30" x14ac:dyDescent="0.25">
      <c r="A4" s="87"/>
      <c r="B4" s="87"/>
      <c r="C4" s="87"/>
      <c r="D4" s="87"/>
      <c r="E4" s="87"/>
      <c r="F4" s="87"/>
      <c r="G4" s="87">
        <f>SUM(L4,O4,R4,U4)</f>
        <v>83.333333333333329</v>
      </c>
      <c r="H4" s="87" t="str">
        <f>IF(G4&gt;=70, "Completed", "Not Completed")</f>
        <v>Completed</v>
      </c>
      <c r="I4" s="87" t="s">
        <v>52</v>
      </c>
      <c r="J4" s="87" t="s">
        <v>54</v>
      </c>
      <c r="K4" s="87"/>
      <c r="L4" s="87">
        <f>SUM(VLOOKUP($I$4,MasterData!$H$6:$I$9,2,FALSE),VLOOKUP('Technical Evaluation'!$J$4,MasterData!$H$12:$I$15,2,FALSE),'Technical Evaluation'!$K4)/3*50</f>
        <v>33.333333333333329</v>
      </c>
      <c r="M4" s="87" t="s">
        <v>54</v>
      </c>
      <c r="N4" s="87" t="s">
        <v>58</v>
      </c>
      <c r="O4" s="88">
        <f>SUM(VLOOKUP($M4, MasterData!$H$12:$I$15,2,FALSE),VLOOKUP('Technical Evaluation'!$N4,MasterData!$H$18:$I$20,2,FALSE))/2*10</f>
        <v>10</v>
      </c>
      <c r="P4" s="88" t="s">
        <v>64</v>
      </c>
      <c r="Q4" s="88" t="s">
        <v>64</v>
      </c>
      <c r="R4" s="88">
        <f>SUM(VLOOKUP(P4,MasterData!$H$23:$I$25,2,FALSE),VLOOKUP('Technical Evaluation'!Q4,MasterData!$H$23:$I$25,2,FALSE))/2*20</f>
        <v>20</v>
      </c>
      <c r="S4" s="88">
        <v>5</v>
      </c>
      <c r="T4" s="88">
        <v>5</v>
      </c>
      <c r="U4" s="88">
        <f>SUM(S4:T4)/10*20</f>
        <v>20</v>
      </c>
      <c r="V4" s="88"/>
    </row>
    <row r="5" spans="1:22" x14ac:dyDescent="0.25">
      <c r="A5" s="87"/>
      <c r="B5" s="87"/>
      <c r="C5" s="87"/>
      <c r="D5" s="87"/>
      <c r="E5" s="87"/>
      <c r="F5" s="87"/>
      <c r="G5" s="87">
        <f>SUM(L5,O5,R5,U5)</f>
        <v>0</v>
      </c>
      <c r="H5" s="87" t="str">
        <f>IF(G5&gt;=70, "Completed", "Not Completed")</f>
        <v>Not Completed</v>
      </c>
      <c r="I5" s="87"/>
      <c r="J5" s="87"/>
      <c r="K5" s="87"/>
      <c r="L5" s="87"/>
      <c r="M5" s="87"/>
      <c r="N5" s="87"/>
      <c r="O5" s="88"/>
      <c r="P5" s="88"/>
      <c r="Q5" s="88"/>
      <c r="R5" s="88"/>
      <c r="S5" s="88"/>
      <c r="T5" s="88"/>
      <c r="U5" s="88"/>
      <c r="V5" s="88"/>
    </row>
    <row r="6" spans="1:22" x14ac:dyDescent="0.25">
      <c r="A6" s="87"/>
      <c r="B6" s="87"/>
      <c r="C6" s="87"/>
      <c r="D6" s="87"/>
      <c r="E6" s="87"/>
      <c r="F6" s="87"/>
      <c r="G6" s="87"/>
      <c r="H6" s="87"/>
      <c r="I6" s="87"/>
      <c r="J6" s="87"/>
      <c r="K6" s="87"/>
      <c r="L6" s="87"/>
      <c r="M6" s="87"/>
      <c r="N6" s="87"/>
      <c r="O6" s="88"/>
      <c r="P6" s="88"/>
      <c r="Q6" s="88"/>
      <c r="R6" s="88"/>
      <c r="S6" s="88"/>
      <c r="T6" s="88"/>
      <c r="U6" s="88"/>
      <c r="V6" s="88"/>
    </row>
    <row r="7" spans="1:22" x14ac:dyDescent="0.25">
      <c r="A7" s="87"/>
      <c r="B7" s="87"/>
      <c r="C7" s="87"/>
      <c r="D7" s="87"/>
      <c r="E7" s="87"/>
      <c r="F7" s="87"/>
      <c r="G7" s="87"/>
      <c r="H7" s="87"/>
      <c r="I7" s="87"/>
      <c r="J7" s="87"/>
      <c r="K7" s="87"/>
      <c r="L7" s="87"/>
      <c r="M7" s="87"/>
      <c r="N7" s="87"/>
      <c r="O7" s="88"/>
      <c r="P7" s="88"/>
      <c r="Q7" s="88"/>
      <c r="R7" s="88"/>
      <c r="S7" s="88"/>
      <c r="T7" s="88"/>
      <c r="U7" s="88"/>
      <c r="V7" s="88"/>
    </row>
    <row r="8" spans="1:22" x14ac:dyDescent="0.25">
      <c r="A8" s="87"/>
      <c r="B8" s="87"/>
      <c r="C8" s="87"/>
      <c r="D8" s="87"/>
      <c r="E8" s="87"/>
      <c r="F8" s="87"/>
      <c r="G8" s="87"/>
      <c r="H8" s="87"/>
      <c r="I8" s="87"/>
      <c r="J8" s="87"/>
      <c r="K8" s="87"/>
      <c r="L8" s="87"/>
      <c r="M8" s="87"/>
      <c r="N8" s="87"/>
      <c r="O8" s="88"/>
      <c r="P8" s="88"/>
      <c r="Q8" s="88"/>
      <c r="R8" s="88"/>
      <c r="S8" s="88"/>
      <c r="T8" s="88"/>
      <c r="U8" s="88"/>
      <c r="V8" s="88"/>
    </row>
    <row r="9" spans="1:22" x14ac:dyDescent="0.25">
      <c r="A9" s="87"/>
      <c r="B9" s="87"/>
      <c r="C9" s="87"/>
      <c r="D9" s="87"/>
      <c r="E9" s="87"/>
      <c r="F9" s="87"/>
      <c r="G9" s="87"/>
      <c r="H9" s="87"/>
      <c r="I9" s="87"/>
      <c r="J9" s="87"/>
      <c r="K9" s="87"/>
      <c r="L9" s="87"/>
      <c r="M9" s="87"/>
      <c r="N9" s="87"/>
      <c r="O9" s="88"/>
      <c r="P9" s="88"/>
      <c r="Q9" s="88"/>
      <c r="R9" s="88"/>
      <c r="S9" s="88"/>
      <c r="T9" s="88"/>
      <c r="U9" s="88"/>
      <c r="V9" s="88"/>
    </row>
    <row r="10" spans="1:22" x14ac:dyDescent="0.25">
      <c r="A10" s="46"/>
      <c r="B10" s="46"/>
      <c r="C10" s="46"/>
      <c r="D10" s="46"/>
      <c r="E10" s="46"/>
      <c r="F10" s="46"/>
      <c r="G10" s="46"/>
      <c r="H10" s="46"/>
      <c r="I10" s="46"/>
      <c r="J10" s="46"/>
      <c r="K10" s="87"/>
      <c r="L10" s="46"/>
      <c r="M10" s="46"/>
      <c r="N10" s="46"/>
      <c r="O10" s="54"/>
      <c r="P10" s="54"/>
      <c r="Q10" s="54"/>
      <c r="R10" s="54"/>
      <c r="S10" s="54"/>
      <c r="T10" s="54"/>
      <c r="U10" s="54"/>
      <c r="V10" s="54"/>
    </row>
    <row r="11" spans="1:22" x14ac:dyDescent="0.25">
      <c r="A11" s="46"/>
      <c r="B11" s="46"/>
      <c r="C11" s="46"/>
      <c r="D11" s="46"/>
      <c r="E11" s="46"/>
      <c r="F11" s="46"/>
      <c r="G11" s="46"/>
      <c r="H11" s="46"/>
      <c r="I11" s="46"/>
      <c r="J11" s="46"/>
      <c r="K11" s="87"/>
      <c r="L11" s="46"/>
      <c r="M11" s="46"/>
      <c r="N11" s="46"/>
      <c r="O11" s="54"/>
      <c r="P11" s="54"/>
      <c r="Q11" s="54"/>
      <c r="R11" s="54"/>
      <c r="S11" s="54"/>
      <c r="T11" s="54"/>
      <c r="U11" s="54"/>
      <c r="V11" s="54"/>
    </row>
    <row r="12" spans="1:22" x14ac:dyDescent="0.25">
      <c r="A12" s="46"/>
      <c r="B12" s="46"/>
      <c r="C12" s="46"/>
      <c r="D12" s="46"/>
      <c r="E12" s="46"/>
      <c r="F12" s="46"/>
      <c r="G12" s="46"/>
      <c r="H12" s="46"/>
      <c r="I12" s="46"/>
      <c r="J12" s="46"/>
      <c r="K12" s="87"/>
      <c r="L12" s="46"/>
      <c r="M12" s="46"/>
      <c r="N12" s="46"/>
      <c r="O12" s="54"/>
      <c r="P12" s="54"/>
      <c r="Q12" s="54"/>
      <c r="R12" s="54"/>
      <c r="S12" s="54"/>
      <c r="T12" s="54"/>
      <c r="U12" s="54"/>
      <c r="V12" s="54"/>
    </row>
    <row r="13" spans="1:22" x14ac:dyDescent="0.25">
      <c r="A13" s="46"/>
      <c r="B13" s="46"/>
      <c r="C13" s="46"/>
      <c r="D13" s="46"/>
      <c r="E13" s="46"/>
      <c r="F13" s="46"/>
      <c r="G13" s="46"/>
      <c r="H13" s="46"/>
      <c r="I13" s="46"/>
      <c r="J13" s="46"/>
      <c r="K13" s="87"/>
      <c r="L13" s="46"/>
      <c r="M13" s="46"/>
      <c r="N13" s="46"/>
      <c r="O13" s="54"/>
      <c r="P13" s="54"/>
      <c r="Q13" s="54"/>
      <c r="R13" s="54"/>
      <c r="S13" s="54"/>
      <c r="T13" s="54"/>
      <c r="U13" s="54"/>
      <c r="V13" s="54"/>
    </row>
    <row r="14" spans="1:22" x14ac:dyDescent="0.25">
      <c r="A14" s="46"/>
      <c r="B14" s="46"/>
      <c r="C14" s="46"/>
      <c r="D14" s="46"/>
      <c r="E14" s="46"/>
      <c r="F14" s="46"/>
      <c r="G14" s="46"/>
      <c r="H14" s="46"/>
      <c r="I14" s="46"/>
      <c r="J14" s="46"/>
      <c r="K14" s="87"/>
      <c r="L14" s="46"/>
      <c r="M14" s="46"/>
      <c r="N14" s="46"/>
      <c r="O14" s="54"/>
      <c r="P14" s="54"/>
      <c r="Q14" s="54"/>
      <c r="R14" s="54"/>
      <c r="S14" s="54"/>
      <c r="T14" s="54"/>
      <c r="U14" s="54"/>
      <c r="V14" s="54"/>
    </row>
    <row r="15" spans="1:22" x14ac:dyDescent="0.25">
      <c r="A15" s="46"/>
      <c r="B15" s="46"/>
      <c r="C15" s="46"/>
      <c r="D15" s="46"/>
      <c r="E15" s="46"/>
      <c r="F15" s="46"/>
      <c r="G15" s="46"/>
      <c r="H15" s="46"/>
      <c r="I15" s="46"/>
      <c r="J15" s="46"/>
      <c r="K15" s="87"/>
      <c r="L15" s="46"/>
      <c r="M15" s="46"/>
      <c r="N15" s="46"/>
      <c r="O15" s="54"/>
      <c r="P15" s="54"/>
      <c r="Q15" s="54"/>
      <c r="R15" s="54"/>
      <c r="S15" s="54"/>
      <c r="T15" s="54"/>
      <c r="U15" s="54"/>
      <c r="V15" s="54"/>
    </row>
    <row r="16" spans="1:22" x14ac:dyDescent="0.25">
      <c r="A16" s="46"/>
      <c r="B16" s="46"/>
      <c r="C16" s="46"/>
      <c r="D16" s="46"/>
      <c r="E16" s="46"/>
      <c r="F16" s="46"/>
      <c r="G16" s="46"/>
      <c r="H16" s="46"/>
      <c r="I16" s="46"/>
      <c r="J16" s="46"/>
      <c r="K16" s="87"/>
      <c r="L16" s="46"/>
      <c r="M16" s="46"/>
      <c r="N16" s="46"/>
      <c r="O16" s="54"/>
      <c r="P16" s="54"/>
      <c r="Q16" s="54"/>
      <c r="R16" s="54"/>
      <c r="S16" s="54"/>
      <c r="T16" s="54"/>
      <c r="U16" s="54"/>
      <c r="V16" s="54"/>
    </row>
    <row r="17" spans="1:22" x14ac:dyDescent="0.25">
      <c r="A17" s="46"/>
      <c r="B17" s="46"/>
      <c r="C17" s="46"/>
      <c r="D17" s="46"/>
      <c r="E17" s="46"/>
      <c r="F17" s="46"/>
      <c r="G17" s="46"/>
      <c r="H17" s="46"/>
      <c r="I17" s="46"/>
      <c r="J17" s="46"/>
      <c r="K17" s="87"/>
      <c r="L17" s="46"/>
      <c r="M17" s="46"/>
      <c r="N17" s="46"/>
      <c r="O17" s="54"/>
      <c r="P17" s="54"/>
      <c r="Q17" s="54"/>
      <c r="R17" s="54"/>
      <c r="S17" s="54"/>
      <c r="T17" s="54"/>
      <c r="U17" s="54"/>
      <c r="V17" s="54"/>
    </row>
    <row r="18" spans="1:22" x14ac:dyDescent="0.25">
      <c r="A18" s="46"/>
      <c r="B18" s="46"/>
      <c r="C18" s="46"/>
      <c r="D18" s="46"/>
      <c r="E18" s="46"/>
      <c r="F18" s="46"/>
      <c r="G18" s="46"/>
      <c r="H18" s="46"/>
      <c r="I18" s="46"/>
      <c r="J18" s="46"/>
      <c r="K18" s="87"/>
      <c r="L18" s="46"/>
      <c r="M18" s="46"/>
      <c r="N18" s="46"/>
      <c r="O18" s="54"/>
      <c r="P18" s="54"/>
      <c r="Q18" s="54"/>
      <c r="R18" s="54"/>
      <c r="S18" s="54"/>
      <c r="T18" s="54"/>
      <c r="U18" s="54"/>
      <c r="V18" s="54"/>
    </row>
    <row r="19" spans="1:22" x14ac:dyDescent="0.25">
      <c r="A19" s="46"/>
      <c r="B19" s="46"/>
      <c r="C19" s="46"/>
      <c r="D19" s="46"/>
      <c r="E19" s="46"/>
      <c r="F19" s="46"/>
      <c r="G19" s="46"/>
      <c r="H19" s="46"/>
      <c r="I19" s="46"/>
      <c r="J19" s="46"/>
      <c r="K19" s="87"/>
      <c r="L19" s="46"/>
      <c r="M19" s="46"/>
      <c r="N19" s="46"/>
      <c r="O19" s="54"/>
      <c r="P19" s="54"/>
      <c r="Q19" s="54"/>
      <c r="R19" s="54"/>
      <c r="S19" s="54"/>
      <c r="T19" s="54"/>
      <c r="U19" s="54"/>
      <c r="V19" s="54"/>
    </row>
    <row r="20" spans="1:22" x14ac:dyDescent="0.25">
      <c r="A20" s="46"/>
      <c r="B20" s="46"/>
      <c r="C20" s="46"/>
      <c r="D20" s="46"/>
      <c r="E20" s="46"/>
      <c r="F20" s="46"/>
      <c r="G20" s="46"/>
      <c r="H20" s="46"/>
      <c r="I20" s="46"/>
      <c r="J20" s="46"/>
      <c r="K20" s="87"/>
      <c r="L20" s="46"/>
      <c r="M20" s="46"/>
      <c r="N20" s="46"/>
      <c r="O20" s="54"/>
      <c r="P20" s="54"/>
      <c r="Q20" s="54"/>
      <c r="R20" s="54"/>
      <c r="S20" s="54"/>
      <c r="T20" s="54"/>
      <c r="U20" s="54"/>
      <c r="V20" s="54"/>
    </row>
    <row r="21" spans="1:22" x14ac:dyDescent="0.25">
      <c r="A21" s="46"/>
      <c r="B21" s="46"/>
      <c r="C21" s="46"/>
      <c r="D21" s="46"/>
      <c r="E21" s="46"/>
      <c r="F21" s="46"/>
      <c r="G21" s="46"/>
      <c r="H21" s="46"/>
      <c r="I21" s="46"/>
      <c r="J21" s="46"/>
      <c r="K21" s="87"/>
      <c r="L21" s="46"/>
      <c r="M21" s="46"/>
      <c r="N21" s="46"/>
      <c r="O21" s="54"/>
      <c r="P21" s="54"/>
      <c r="Q21" s="54"/>
      <c r="R21" s="54"/>
      <c r="S21" s="54"/>
      <c r="T21" s="54"/>
      <c r="U21" s="54"/>
      <c r="V21" s="54"/>
    </row>
    <row r="22" spans="1:22" x14ac:dyDescent="0.25">
      <c r="A22" s="46"/>
      <c r="B22" s="46"/>
      <c r="C22" s="46"/>
      <c r="D22" s="46"/>
      <c r="E22" s="46"/>
      <c r="F22" s="46"/>
      <c r="G22" s="46"/>
      <c r="H22" s="46"/>
      <c r="I22" s="46"/>
      <c r="J22" s="46"/>
      <c r="K22" s="46"/>
      <c r="L22" s="46"/>
      <c r="M22" s="46"/>
      <c r="N22" s="46"/>
      <c r="O22" s="54"/>
      <c r="P22" s="54"/>
      <c r="Q22" s="54"/>
      <c r="R22" s="54"/>
      <c r="S22" s="54"/>
      <c r="T22" s="54"/>
      <c r="U22" s="54"/>
      <c r="V22" s="54"/>
    </row>
    <row r="23" spans="1:22" x14ac:dyDescent="0.25">
      <c r="A23" s="46"/>
      <c r="B23" s="46"/>
      <c r="C23" s="46"/>
      <c r="D23" s="46"/>
      <c r="E23" s="46"/>
      <c r="F23" s="46"/>
      <c r="G23" s="46"/>
      <c r="H23" s="46"/>
      <c r="I23" s="46"/>
      <c r="J23" s="46"/>
      <c r="K23" s="46"/>
      <c r="L23" s="46"/>
      <c r="M23" s="46"/>
      <c r="N23" s="46"/>
      <c r="O23" s="54"/>
      <c r="P23" s="54"/>
      <c r="Q23" s="54"/>
      <c r="R23" s="54"/>
      <c r="S23" s="54"/>
      <c r="T23" s="54"/>
      <c r="U23" s="54"/>
      <c r="V23" s="54"/>
    </row>
    <row r="1048560" spans="1:24" ht="15.75" x14ac:dyDescent="0.25">
      <c r="A1048560" s="55"/>
      <c r="B1048560" s="55" t="s">
        <v>17</v>
      </c>
      <c r="C1048560" s="55"/>
      <c r="I1048560" s="55" t="s">
        <v>18</v>
      </c>
      <c r="J1048560" s="55"/>
      <c r="K1048560" s="55"/>
      <c r="L1048560" s="55"/>
      <c r="M1048560" s="55"/>
      <c r="N1048560" s="55"/>
      <c r="O1048560" s="55"/>
      <c r="S1048560" s="55"/>
      <c r="X1048560" s="57" t="s">
        <v>19</v>
      </c>
    </row>
    <row r="1048561" spans="1:24" ht="15.75" x14ac:dyDescent="0.25">
      <c r="A1048561" s="55"/>
      <c r="B1048561" s="55" t="s">
        <v>20</v>
      </c>
      <c r="C1048561" s="55"/>
      <c r="I1048561" s="55" t="s">
        <v>21</v>
      </c>
      <c r="J1048561" s="55"/>
      <c r="K1048561" s="55"/>
      <c r="L1048561" s="55"/>
      <c r="M1048561" s="55"/>
      <c r="N1048561" s="55"/>
      <c r="O1048561" s="55"/>
      <c r="S1048561" s="55"/>
      <c r="X1048561" s="55" t="s">
        <v>22</v>
      </c>
    </row>
    <row r="1048562" spans="1:24" ht="15.75" x14ac:dyDescent="0.25">
      <c r="A1048562" s="55"/>
      <c r="B1048562" s="55" t="s">
        <v>23</v>
      </c>
      <c r="C1048562" s="55"/>
      <c r="I1048562" s="55" t="s">
        <v>23</v>
      </c>
      <c r="J1048562" s="55"/>
      <c r="K1048562" s="55"/>
      <c r="L1048562" s="55"/>
      <c r="M1048562" s="55"/>
      <c r="N1048562" s="55"/>
      <c r="O1048562" s="55"/>
      <c r="S1048562" s="55"/>
      <c r="X1048562" s="55" t="s">
        <v>24</v>
      </c>
    </row>
    <row r="1048563" spans="1:24" ht="15.75" x14ac:dyDescent="0.25">
      <c r="A1048563" s="55"/>
      <c r="B1048563" s="55" t="s">
        <v>25</v>
      </c>
      <c r="C1048563" s="55"/>
      <c r="I1048563" s="55" t="s">
        <v>26</v>
      </c>
      <c r="J1048563" s="55"/>
      <c r="K1048563" s="55"/>
      <c r="L1048563" s="55"/>
      <c r="M1048563" s="55"/>
      <c r="N1048563" s="55"/>
      <c r="O1048563" s="55"/>
      <c r="S1048563" s="55"/>
      <c r="X1048563" s="57" t="s">
        <v>27</v>
      </c>
    </row>
    <row r="1048564" spans="1:24" ht="15.75" x14ac:dyDescent="0.25">
      <c r="A1048564" s="55"/>
      <c r="B1048564" s="55" t="s">
        <v>28</v>
      </c>
      <c r="C1048564" s="55"/>
      <c r="I1048564" s="55" t="s">
        <v>28</v>
      </c>
      <c r="J1048564" s="55"/>
      <c r="K1048564" s="55"/>
      <c r="L1048564" s="55"/>
      <c r="M1048564" s="55"/>
      <c r="N1048564" s="55"/>
      <c r="O1048564" s="55"/>
      <c r="S1048564" s="55"/>
      <c r="X1048564" s="55" t="s">
        <v>28</v>
      </c>
    </row>
  </sheetData>
  <mergeCells count="8">
    <mergeCell ref="A1:V1"/>
    <mergeCell ref="I2:L2"/>
    <mergeCell ref="B2:F2"/>
    <mergeCell ref="M2:O2"/>
    <mergeCell ref="S2:V2"/>
    <mergeCell ref="P2:R2"/>
    <mergeCell ref="G2:H2"/>
    <mergeCell ref="A2:A3"/>
  </mergeCells>
  <dataValidations count="6">
    <dataValidation type="list" allowBlank="1" showInputMessage="1" showErrorMessage="1" sqref="P24 Q24:R25">
      <formula1>#REF!</formula1>
    </dataValidation>
    <dataValidation type="list" allowBlank="1" showInputMessage="1" showErrorMessage="1" sqref="S4:T9">
      <formula1>"0,1,2,3,4,5"</formula1>
    </dataValidation>
    <dataValidation type="list" allowBlank="1" showInputMessage="1" showErrorMessage="1" sqref="T24:U25">
      <formula1>$B$1048559:$B$1048576</formula1>
    </dataValidation>
    <dataValidation type="list" allowBlank="1" showInputMessage="1" showErrorMessage="1" sqref="I24:O25">
      <formula1>$X$1048559:$X$1048576</formula1>
    </dataValidation>
    <dataValidation type="list" allowBlank="1" showInputMessage="1" showErrorMessage="1" sqref="S24:S25">
      <formula1>$I$1048559:$I$1048576</formula1>
    </dataValidation>
    <dataValidation type="list" allowBlank="1" showInputMessage="1" showErrorMessage="1" sqref="K4:K21">
      <formula1>"0,1"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MasterData!$H$6:$H$9</xm:f>
          </x14:formula1>
          <xm:sqref>I4:I9</xm:sqref>
        </x14:dataValidation>
        <x14:dataValidation type="list" allowBlank="1" showInputMessage="1" showErrorMessage="1">
          <x14:formula1>
            <xm:f>MasterData!$H$12:$H$15</xm:f>
          </x14:formula1>
          <xm:sqref>J4:J9 M4:M9</xm:sqref>
        </x14:dataValidation>
        <x14:dataValidation type="list" allowBlank="1" showInputMessage="1" showErrorMessage="1">
          <x14:formula1>
            <xm:f>MasterData!$H$18:$H$20</xm:f>
          </x14:formula1>
          <xm:sqref>N4:N9</xm:sqref>
        </x14:dataValidation>
        <x14:dataValidation type="list" allowBlank="1" showInputMessage="1" showErrorMessage="1">
          <x14:formula1>
            <xm:f>MasterData!$H$23:$H$25</xm:f>
          </x14:formula1>
          <xm:sqref>P4:Q9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6:I25"/>
  <sheetViews>
    <sheetView topLeftCell="A16" workbookViewId="0">
      <selection activeCell="F29" sqref="F29"/>
    </sheetView>
  </sheetViews>
  <sheetFormatPr defaultRowHeight="15" x14ac:dyDescent="0.25"/>
  <cols>
    <col min="8" max="8" width="27.42578125" customWidth="1"/>
  </cols>
  <sheetData>
    <row r="6" spans="8:9" x14ac:dyDescent="0.25">
      <c r="H6" s="46" t="s">
        <v>40</v>
      </c>
      <c r="I6" s="46">
        <v>0</v>
      </c>
    </row>
    <row r="7" spans="8:9" x14ac:dyDescent="0.25">
      <c r="H7" s="46" t="s">
        <v>50</v>
      </c>
      <c r="I7" s="46">
        <v>0</v>
      </c>
    </row>
    <row r="8" spans="8:9" x14ac:dyDescent="0.25">
      <c r="H8" s="46" t="s">
        <v>51</v>
      </c>
      <c r="I8" s="46">
        <v>0.5</v>
      </c>
    </row>
    <row r="9" spans="8:9" x14ac:dyDescent="0.25">
      <c r="H9" s="46" t="s">
        <v>52</v>
      </c>
      <c r="I9" s="46">
        <v>1</v>
      </c>
    </row>
    <row r="12" spans="8:9" x14ac:dyDescent="0.25">
      <c r="H12" s="46" t="s">
        <v>40</v>
      </c>
      <c r="I12" s="46">
        <v>0</v>
      </c>
    </row>
    <row r="13" spans="8:9" x14ac:dyDescent="0.25">
      <c r="H13" s="46" t="s">
        <v>47</v>
      </c>
      <c r="I13" s="46">
        <v>0</v>
      </c>
    </row>
    <row r="14" spans="8:9" x14ac:dyDescent="0.25">
      <c r="H14" s="46" t="s">
        <v>53</v>
      </c>
      <c r="I14" s="46">
        <v>0.5</v>
      </c>
    </row>
    <row r="15" spans="8:9" x14ac:dyDescent="0.25">
      <c r="H15" s="46" t="s">
        <v>54</v>
      </c>
      <c r="I15" s="46">
        <v>1</v>
      </c>
    </row>
    <row r="18" spans="8:9" x14ac:dyDescent="0.25">
      <c r="H18" s="46" t="s">
        <v>40</v>
      </c>
      <c r="I18" s="46">
        <v>0</v>
      </c>
    </row>
    <row r="19" spans="8:9" x14ac:dyDescent="0.25">
      <c r="H19" s="46" t="s">
        <v>57</v>
      </c>
      <c r="I19" s="46">
        <v>0</v>
      </c>
    </row>
    <row r="20" spans="8:9" x14ac:dyDescent="0.25">
      <c r="H20" s="46" t="s">
        <v>58</v>
      </c>
      <c r="I20" s="46">
        <v>1</v>
      </c>
    </row>
    <row r="23" spans="8:9" x14ac:dyDescent="0.25">
      <c r="H23" s="46" t="s">
        <v>40</v>
      </c>
      <c r="I23" s="46">
        <v>0</v>
      </c>
    </row>
    <row r="24" spans="8:9" x14ac:dyDescent="0.25">
      <c r="H24" s="46" t="s">
        <v>63</v>
      </c>
      <c r="I24" s="46">
        <v>0</v>
      </c>
    </row>
    <row r="25" spans="8:9" x14ac:dyDescent="0.25">
      <c r="H25" s="46" t="s">
        <v>64</v>
      </c>
      <c r="I25" s="46">
        <v>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2"/>
  <sheetViews>
    <sheetView workbookViewId="0">
      <selection activeCell="D1" sqref="D1:D1048576"/>
    </sheetView>
  </sheetViews>
  <sheetFormatPr defaultRowHeight="15" x14ac:dyDescent="0.25"/>
  <cols>
    <col min="2" max="2" width="55.140625" customWidth="1"/>
    <col min="3" max="3" width="10.7109375" customWidth="1"/>
    <col min="4" max="4" width="5.7109375" customWidth="1"/>
    <col min="6" max="6" width="22.42578125" bestFit="1" customWidth="1"/>
  </cols>
  <sheetData>
    <row r="1" spans="1:2" x14ac:dyDescent="0.25">
      <c r="A1" s="78" t="s">
        <v>35</v>
      </c>
      <c r="B1" s="78"/>
    </row>
    <row r="2" spans="1:2" s="60" customFormat="1" x14ac:dyDescent="0.25">
      <c r="A2" s="58" t="s">
        <v>36</v>
      </c>
      <c r="B2" s="59" t="s">
        <v>37</v>
      </c>
    </row>
    <row r="3" spans="1:2" x14ac:dyDescent="0.25">
      <c r="A3" s="76" t="s">
        <v>38</v>
      </c>
      <c r="B3" s="77"/>
    </row>
    <row r="4" spans="1:2" x14ac:dyDescent="0.25">
      <c r="A4" s="61">
        <v>1</v>
      </c>
      <c r="B4" s="61" t="s">
        <v>39</v>
      </c>
    </row>
    <row r="5" spans="1:2" x14ac:dyDescent="0.25">
      <c r="A5" s="76" t="s">
        <v>41</v>
      </c>
      <c r="B5" s="77"/>
    </row>
    <row r="6" spans="1:2" ht="106.5" customHeight="1" x14ac:dyDescent="0.25">
      <c r="A6" s="61">
        <v>2</v>
      </c>
      <c r="B6" s="61" t="s">
        <v>42</v>
      </c>
    </row>
    <row r="7" spans="1:2" x14ac:dyDescent="0.25">
      <c r="A7" s="76" t="s">
        <v>74</v>
      </c>
      <c r="B7" s="77"/>
    </row>
    <row r="8" spans="1:2" ht="106.5" customHeight="1" x14ac:dyDescent="0.25">
      <c r="A8" s="61">
        <v>3</v>
      </c>
      <c r="B8" s="61" t="s">
        <v>75</v>
      </c>
    </row>
    <row r="9" spans="1:2" x14ac:dyDescent="0.25">
      <c r="A9" s="76" t="s">
        <v>43</v>
      </c>
      <c r="B9" s="77"/>
    </row>
    <row r="10" spans="1:2" ht="106.5" customHeight="1" x14ac:dyDescent="0.25">
      <c r="A10" s="61">
        <v>4</v>
      </c>
      <c r="B10" s="61" t="s">
        <v>44</v>
      </c>
    </row>
    <row r="11" spans="1:2" x14ac:dyDescent="0.25">
      <c r="A11" s="76" t="s">
        <v>45</v>
      </c>
      <c r="B11" s="77"/>
    </row>
    <row r="12" spans="1:2" ht="106.5" customHeight="1" x14ac:dyDescent="0.25">
      <c r="A12" s="61">
        <v>6</v>
      </c>
      <c r="B12" s="61" t="s">
        <v>49</v>
      </c>
    </row>
    <row r="99" spans="11:11" x14ac:dyDescent="0.25">
      <c r="K99" t="s">
        <v>40</v>
      </c>
    </row>
    <row r="100" spans="11:11" x14ac:dyDescent="0.25">
      <c r="K100" t="s">
        <v>46</v>
      </c>
    </row>
    <row r="101" spans="11:11" x14ac:dyDescent="0.25">
      <c r="K101" t="s">
        <v>47</v>
      </c>
    </row>
    <row r="102" spans="11:11" x14ac:dyDescent="0.25">
      <c r="K102" t="s">
        <v>48</v>
      </c>
    </row>
  </sheetData>
  <mergeCells count="6">
    <mergeCell ref="A11:B11"/>
    <mergeCell ref="A1:B1"/>
    <mergeCell ref="A3:B3"/>
    <mergeCell ref="A5:B5"/>
    <mergeCell ref="A7:B7"/>
    <mergeCell ref="A9:B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4"/>
  <sheetViews>
    <sheetView workbookViewId="0">
      <selection activeCell="F4" sqref="F4"/>
    </sheetView>
  </sheetViews>
  <sheetFormatPr defaultRowHeight="15" x14ac:dyDescent="0.25"/>
  <cols>
    <col min="3" max="3" width="22.42578125" customWidth="1"/>
    <col min="4" max="4" width="20.42578125" customWidth="1"/>
    <col min="5" max="5" width="11.85546875" customWidth="1"/>
    <col min="6" max="6" width="15.85546875" customWidth="1"/>
  </cols>
  <sheetData>
    <row r="2" spans="2:6" ht="15.75" x14ac:dyDescent="0.25">
      <c r="B2" s="79" t="s">
        <v>76</v>
      </c>
      <c r="C2" s="79"/>
      <c r="D2" s="79"/>
      <c r="E2" s="79"/>
      <c r="F2" s="79"/>
    </row>
    <row r="3" spans="2:6" ht="26.25" x14ac:dyDescent="0.25">
      <c r="B3" s="80" t="s">
        <v>77</v>
      </c>
      <c r="C3" s="80" t="s">
        <v>78</v>
      </c>
      <c r="D3" s="80" t="s">
        <v>79</v>
      </c>
      <c r="E3" s="80" t="s">
        <v>80</v>
      </c>
      <c r="F3" s="80" t="s">
        <v>81</v>
      </c>
    </row>
    <row r="4" spans="2:6" ht="24.75" x14ac:dyDescent="0.25">
      <c r="B4" s="81">
        <v>1</v>
      </c>
      <c r="C4" s="82" t="s">
        <v>82</v>
      </c>
      <c r="D4" s="83" t="s">
        <v>83</v>
      </c>
      <c r="E4" s="84">
        <v>43922</v>
      </c>
      <c r="F4" s="83" t="s">
        <v>84</v>
      </c>
    </row>
  </sheetData>
  <mergeCells count="1">
    <mergeCell ref="B2:F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1" ma:contentTypeDescription="Create a new document." ma:contentTypeScope="" ma:versionID="21d22ff45c5bcee3e13d2da0d2eaf86f">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8b7f95d062efb1de1c26afcaa392f390"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10FAFAA-D539-4CD0-B85C-231439C62886}"/>
</file>

<file path=customXml/itemProps2.xml><?xml version="1.0" encoding="utf-8"?>
<ds:datastoreItem xmlns:ds="http://schemas.openxmlformats.org/officeDocument/2006/customXml" ds:itemID="{05E40B9F-536B-4346-8A23-C2A2F7C4098E}"/>
</file>

<file path=customXml/itemProps3.xml><?xml version="1.0" encoding="utf-8"?>
<ds:datastoreItem xmlns:ds="http://schemas.openxmlformats.org/officeDocument/2006/customXml" ds:itemID="{3D26DA68-0879-477B-89F4-6C579732468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Instructions</vt:lpstr>
      <vt:lpstr>Technical Evaluation</vt:lpstr>
      <vt:lpstr>MasterData</vt:lpstr>
      <vt:lpstr>Best Practices</vt:lpstr>
      <vt:lpstr>Revision History</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Jayaraman, Srilakshmi (Cognizant)</cp:lastModifiedBy>
  <dcterms:created xsi:type="dcterms:W3CDTF">2019-12-17T09:53:36Z</dcterms:created>
  <dcterms:modified xsi:type="dcterms:W3CDTF">2020-04-01T13:55:04Z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0x0101007A9C735C9F3CD54A948D0AD38DF112BF</vt:lpwstr>
  </property>
</Properties>
</file>