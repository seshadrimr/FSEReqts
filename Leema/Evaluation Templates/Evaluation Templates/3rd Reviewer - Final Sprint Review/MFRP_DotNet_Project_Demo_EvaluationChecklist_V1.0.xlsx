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eshadri\AcademyWork\Internship2020\MFRP\"/>
    </mc:Choice>
  </mc:AlternateContent>
  <bookViews>
    <workbookView xWindow="0" yWindow="0" windowWidth="20490" windowHeight="7020" activeTab="4"/>
  </bookViews>
  <sheets>
    <sheet name="Cover Page" sheetId="2" r:id="rId1"/>
    <sheet name="Instructions" sheetId="4" r:id="rId2"/>
    <sheet name="Technical Evaluation" sheetId="5" r:id="rId3"/>
    <sheet name="MasterData" sheetId="7" state="hidden" r:id="rId4"/>
    <sheet name="Best Practices" sheetId="6" r:id="rId5"/>
    <sheet name="Revision History" sheetId="8" r:id="rId6"/>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 i="5" l="1"/>
  <c r="G5" i="5"/>
  <c r="L4" i="5"/>
  <c r="O4" i="5"/>
  <c r="R4" i="5"/>
  <c r="U4" i="5" l="1"/>
  <c r="G4" i="5" l="1"/>
  <c r="H4" i="5" s="1"/>
</calcChain>
</file>

<file path=xl/sharedStrings.xml><?xml version="1.0" encoding="utf-8"?>
<sst xmlns="http://schemas.openxmlformats.org/spreadsheetml/2006/main" count="111" uniqueCount="94">
  <si>
    <t>Prepared By / Last Updated By</t>
  </si>
  <si>
    <t>Reviewed By</t>
  </si>
  <si>
    <t>Approved By</t>
  </si>
  <si>
    <t>Name</t>
  </si>
  <si>
    <t>Role</t>
  </si>
  <si>
    <t>Signature</t>
  </si>
  <si>
    <t>Date</t>
  </si>
  <si>
    <t xml:space="preserve">                       </t>
  </si>
  <si>
    <t>C3: Protected</t>
  </si>
  <si>
    <t>Project Demo Checklist</t>
  </si>
  <si>
    <t>Academy - Project Solutions</t>
  </si>
  <si>
    <t>Cohort Code</t>
  </si>
  <si>
    <t>User Story Evaluated</t>
  </si>
  <si>
    <r>
      <t xml:space="preserve">Instructions
                                     </t>
    </r>
    <r>
      <rPr>
        <sz val="9"/>
        <color indexed="23"/>
        <rFont val="Arial"/>
        <family val="2"/>
      </rPr>
      <t xml:space="preserve">                                 C3: Protected          Controlled Copy</t>
    </r>
  </si>
  <si>
    <t>Associate Id</t>
  </si>
  <si>
    <t>Associate Name</t>
  </si>
  <si>
    <t>Overall  Comments</t>
  </si>
  <si>
    <t>Exceptional; clear, well organized and easily understood</t>
  </si>
  <si>
    <t>Excellent; able to think logically and solve the problem</t>
  </si>
  <si>
    <t>High interest and levels of participation. Very regular.</t>
  </si>
  <si>
    <t>Clear and Understandable</t>
  </si>
  <si>
    <t>Good</t>
  </si>
  <si>
    <t xml:space="preserve">Above Average interest and levels of participation. </t>
  </si>
  <si>
    <t>Satisfactory</t>
  </si>
  <si>
    <t>Satisfactory amount of interest and participation</t>
  </si>
  <si>
    <t>Inadequate; unable to put across thoughts clearly</t>
  </si>
  <si>
    <t>Unsatisfactory; unable to identify how to solve the problem</t>
  </si>
  <si>
    <t>Little interest or enthusiasm shown. Very irregular in attending trainings/assessments</t>
  </si>
  <si>
    <t>Not Applicable / Not Evaluated</t>
  </si>
  <si>
    <t>Project Name</t>
  </si>
  <si>
    <t>Basic Data</t>
  </si>
  <si>
    <t xml:space="preserve">Application of Self-Learnt Skills </t>
  </si>
  <si>
    <t>Business Value</t>
  </si>
  <si>
    <t>Were they able to explain the project design and implementation?</t>
  </si>
  <si>
    <t>Were they able to justify why the implementation follows a specific algorithm/method, and not any other alternate means?</t>
  </si>
  <si>
    <t>Analysis of Best Practices Implemented</t>
  </si>
  <si>
    <t>S.No.</t>
  </si>
  <si>
    <t>Evaluation Criteria</t>
  </si>
  <si>
    <t>Single Responsibility Principle</t>
  </si>
  <si>
    <t>Each class or a method must have handled only 1 responsibility</t>
  </si>
  <si>
    <t>0-Not Evaluated</t>
  </si>
  <si>
    <t xml:space="preserve">Dependency Inversion </t>
  </si>
  <si>
    <t>Modularity</t>
  </si>
  <si>
    <t>Associate code must be modularized for keeping particular pieces of code independent of other components. This provides loose coupling to support well-structured code.</t>
  </si>
  <si>
    <t>Coding Standards</t>
  </si>
  <si>
    <t>0-Not Attempted</t>
  </si>
  <si>
    <t>0-Not Completed</t>
  </si>
  <si>
    <t>1-Completed</t>
  </si>
  <si>
    <t>0-Not Working</t>
  </si>
  <si>
    <t>50%-Partially Working</t>
  </si>
  <si>
    <t>100%-Fully Working</t>
  </si>
  <si>
    <t>50%-Partially Completed</t>
  </si>
  <si>
    <t>100%-Fully Completed</t>
  </si>
  <si>
    <t>Section Score (50%)</t>
  </si>
  <si>
    <t>Section Score (20%)</t>
  </si>
  <si>
    <t>0-No Additional Value</t>
  </si>
  <si>
    <t>100%-Has Value Addition(s)</t>
  </si>
  <si>
    <t>Is the solution having value additions that translates to business value?</t>
  </si>
  <si>
    <t>Strengths in Technical Skills (Viva Voce - where Depth is expected)</t>
  </si>
  <si>
    <t>Justifying the submission</t>
  </si>
  <si>
    <t>0-Not Able to Justify the Work</t>
  </si>
  <si>
    <t>1-Able to Justify the Work</t>
  </si>
  <si>
    <t>Section Score (10%)</t>
  </si>
  <si>
    <t>Results</t>
  </si>
  <si>
    <t>Overall Score</t>
  </si>
  <si>
    <t>Status</t>
  </si>
  <si>
    <t>#</t>
  </si>
  <si>
    <t>Functionalities Completed?
Note: Check if the project is working and meeting the intended purpose based on user story</t>
  </si>
  <si>
    <t>Technical Features Implemented correctly?
Note: Are the features picked and used correctly in coding, for the user story? Ex: Exception Handling</t>
  </si>
  <si>
    <t>Basic Coding Disciplines</t>
  </si>
  <si>
    <t>Revision History</t>
  </si>
  <si>
    <t>Version #</t>
  </si>
  <si>
    <t>Sections Modified</t>
  </si>
  <si>
    <t>Modified By</t>
  </si>
  <si>
    <t>Modified Date</t>
  </si>
  <si>
    <t>Comments</t>
  </si>
  <si>
    <t>All</t>
  </si>
  <si>
    <t>Srilakshmi Jayaraman (222805)</t>
  </si>
  <si>
    <t>Initial Release</t>
  </si>
  <si>
    <t>This sheet has to be filled by the Technical SME during the Final Project Presentation</t>
  </si>
  <si>
    <t xml:space="preserve">The Project Demo Checklist contains a list of questions designed to evaluate the understanding of GenC related to the Project requirements and also to validate their technical knowledge. This checklist needs to be filled during the final project demo presented by the GenC of each project. </t>
  </si>
  <si>
    <t>Color Coding</t>
  </si>
  <si>
    <t>To be filled in by Tech SME</t>
  </si>
  <si>
    <t>The Tech SME must fill in only the columns filled in Blue color. Rest all is auto populated based on rubrics defined by Academy GEN C Solutions Team</t>
  </si>
  <si>
    <t>MFRP - Score Card based on Project Demo and Viva Voce</t>
  </si>
  <si>
    <t>Best Practices Score 
Note: Please score based on checkpoints in Best Practices Sheet. (If all of the checkpoints are covered, 1, 0 otherwise)</t>
  </si>
  <si>
    <t>Are the Non-functional requirements impemented? (Usability, Security etc.)</t>
  </si>
  <si>
    <t>C# (Topics: OOP, Collections, Loops, Exception handling)
Rating scale (0-5; 0-being lowest, 5-being highest)</t>
  </si>
  <si>
    <t>ASP.Net MVC(Topics: Controllers, Action method, 2 way data binding), Entity Framework usage</t>
  </si>
  <si>
    <t>Associates must have used C# coding standards.</t>
  </si>
  <si>
    <t xml:space="preserve">Check if abstraction is introduced between high level classes and low level classes such that high level modules should not depend on the low level modules
</t>
  </si>
  <si>
    <t>Comments, Correct usage of database resources, Exception Handling, Maintainable Code</t>
  </si>
  <si>
    <t>Seshadri M R (239914)</t>
  </si>
  <si>
    <t>Modified for DotNet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</si>
</sst>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m\-yy"/>
    <numFmt numFmtId="165" formatCode="0.0"/>
  </numFmts>
  <fonts count="26" x14ac:knownFonts="1">
    <font>
      <sz val="11"/>
      <color theme="1"/>
      <name val="Calibri"/>
      <family val="2"/>
      <scheme val="minor"/>
    </font>
    <font>
      <sz val="10"/>
      <name val="Arial"/>
      <family val="2"/>
    </font>
    <font>
      <b/>
      <sz val="14"/>
      <name val="Arial"/>
      <family val="2"/>
    </font>
    <font>
      <b/>
      <sz val="20"/>
      <color indexed="18"/>
      <name val="Arial"/>
      <family val="2"/>
    </font>
    <font>
      <u/>
      <sz val="11"/>
      <name val="Arial"/>
      <family val="2"/>
    </font>
    <font>
      <b/>
      <sz val="10"/>
      <color indexed="8"/>
      <name val="Arial"/>
      <family val="2"/>
    </font>
    <font>
      <b/>
      <sz val="10"/>
      <name val="Arial"/>
      <family val="2"/>
    </font>
    <font>
      <i/>
      <sz val="10"/>
      <name val="Arial"/>
      <family val="2"/>
    </font>
    <font>
      <sz val="9"/>
      <color indexed="23"/>
      <name val="Arial"/>
      <family val="2"/>
    </font>
    <font>
      <b/>
      <i/>
      <sz val="10"/>
      <name val="Arial"/>
      <family val="2"/>
    </font>
    <font>
      <sz val="11"/>
      <color theme="1"/>
      <name val="Cambria"/>
      <family val="1"/>
    </font>
    <font>
      <b/>
      <sz val="13"/>
      <color indexed="16"/>
      <name val="Arial"/>
      <family val="2"/>
    </font>
    <font>
      <b/>
      <sz val="10"/>
      <color indexed="16"/>
      <name val="Arial"/>
      <family val="2"/>
    </font>
    <font>
      <b/>
      <sz val="10"/>
      <color theme="0"/>
      <name val="Arial"/>
      <family val="2"/>
    </font>
    <font>
      <sz val="10"/>
      <color theme="0"/>
      <name val="Arial"/>
      <family val="2"/>
    </font>
    <font>
      <b/>
      <sz val="11"/>
      <color theme="0"/>
      <name val="Calibri"/>
      <family val="2"/>
      <scheme val="minor"/>
    </font>
    <font>
      <sz val="10"/>
      <color theme="1"/>
      <name val="Calibri"/>
      <family val="2"/>
      <scheme val="minor"/>
    </font>
    <font>
      <sz val="12"/>
      <color theme="1"/>
      <name val="Calibri"/>
      <family val="2"/>
      <scheme val="minor"/>
    </font>
    <font>
      <b/>
      <sz val="10"/>
      <color theme="0"/>
      <name val="Times New Roman"/>
      <family val="1"/>
    </font>
    <font>
      <b/>
      <sz val="10"/>
      <color theme="1"/>
      <name val="Times New Roman"/>
      <family val="1"/>
    </font>
    <font>
      <sz val="10"/>
      <name val="Times New Roman"/>
      <family val="1"/>
    </font>
    <font>
      <b/>
      <sz val="10"/>
      <color theme="0"/>
      <name val="Calibri"/>
      <family val="2"/>
      <scheme val="minor"/>
    </font>
    <font>
      <sz val="14"/>
      <color theme="0"/>
      <name val="Calibri"/>
      <family val="2"/>
      <scheme val="minor"/>
    </font>
    <font>
      <b/>
      <sz val="12"/>
      <color theme="7"/>
      <name val="Calibri"/>
      <family val="2"/>
      <scheme val="minor"/>
    </font>
    <font>
      <sz val="9"/>
      <name val="Calibri"/>
      <family val="2"/>
      <scheme val="minor"/>
    </font>
    <font>
      <sz val="11"/>
      <color theme="0"/>
      <name val="Cambria"/>
      <family val="1"/>
    </font>
  </fonts>
  <fills count="11">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5" tint="0.59999389629810485"/>
        <bgColor indexed="64"/>
      </patternFill>
    </fill>
    <fill>
      <patternFill patternType="solid">
        <fgColor theme="0"/>
        <bgColor indexed="64"/>
      </patternFill>
    </fill>
    <fill>
      <patternFill patternType="solid">
        <fgColor rgb="FF002060"/>
        <bgColor indexed="64"/>
      </patternFill>
    </fill>
    <fill>
      <patternFill patternType="solid">
        <fgColor theme="8" tint="-0.499984740745262"/>
        <bgColor indexed="64"/>
      </patternFill>
    </fill>
    <fill>
      <patternFill patternType="solid">
        <fgColor theme="5" tint="-0.499984740745262"/>
        <bgColor indexed="64"/>
      </patternFill>
    </fill>
    <fill>
      <patternFill patternType="solid">
        <fgColor theme="0" tint="-0.14999847407452621"/>
        <bgColor indexed="64"/>
      </patternFill>
    </fill>
    <fill>
      <patternFill patternType="solid">
        <fgColor theme="8"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right/>
      <top/>
      <bottom style="thick">
        <color indexed="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1" fillId="0" borderId="0"/>
  </cellStyleXfs>
  <cellXfs count="93">
    <xf numFmtId="0" fontId="0" fillId="0" borderId="0" xfId="0"/>
    <xf numFmtId="0" fontId="1" fillId="2" borderId="0" xfId="1" applyFill="1" applyBorder="1"/>
    <xf numFmtId="0" fontId="2" fillId="2" borderId="0" xfId="1" applyFont="1" applyFill="1" applyBorder="1"/>
    <xf numFmtId="0" fontId="1" fillId="2" borderId="0" xfId="1" applyFill="1" applyBorder="1" applyAlignment="1">
      <alignment horizontal="center"/>
    </xf>
    <xf numFmtId="0" fontId="1" fillId="2" borderId="0" xfId="1" applyFill="1"/>
    <xf numFmtId="0" fontId="2" fillId="2" borderId="2" xfId="1" applyFont="1" applyFill="1" applyBorder="1"/>
    <xf numFmtId="0" fontId="2" fillId="2" borderId="3" xfId="1" applyFont="1" applyFill="1" applyBorder="1"/>
    <xf numFmtId="0" fontId="1" fillId="2" borderId="3" xfId="1" applyFill="1" applyBorder="1"/>
    <xf numFmtId="0" fontId="1" fillId="2" borderId="4" xfId="1" applyFill="1" applyBorder="1" applyAlignment="1">
      <alignment horizontal="center"/>
    </xf>
    <xf numFmtId="0" fontId="2" fillId="2" borderId="5" xfId="1" applyFont="1" applyFill="1" applyBorder="1"/>
    <xf numFmtId="0" fontId="1" fillId="2" borderId="6" xfId="1" applyFill="1" applyBorder="1" applyAlignment="1">
      <alignment horizontal="center"/>
    </xf>
    <xf numFmtId="0" fontId="1" fillId="2" borderId="5" xfId="1" applyFill="1" applyBorder="1" applyAlignment="1">
      <alignment horizontal="center"/>
    </xf>
    <xf numFmtId="0" fontId="1" fillId="2" borderId="6" xfId="1" applyFill="1" applyBorder="1"/>
    <xf numFmtId="0" fontId="1" fillId="2" borderId="5" xfId="1" applyFill="1" applyBorder="1"/>
    <xf numFmtId="0" fontId="1" fillId="2" borderId="0" xfId="1" applyFont="1" applyFill="1" applyBorder="1"/>
    <xf numFmtId="0" fontId="1" fillId="0" borderId="0" xfId="1"/>
    <xf numFmtId="49" fontId="5" fillId="3" borderId="1" xfId="1" applyNumberFormat="1" applyFont="1" applyFill="1" applyBorder="1" applyAlignment="1">
      <alignment horizontal="center" vertical="center" wrapText="1"/>
    </xf>
    <xf numFmtId="0" fontId="6" fillId="3" borderId="1" xfId="1" applyFont="1" applyFill="1" applyBorder="1" applyAlignment="1">
      <alignment horizontal="justify" vertical="center" wrapText="1"/>
    </xf>
    <xf numFmtId="0" fontId="1" fillId="2" borderId="1" xfId="1" applyFont="1" applyFill="1" applyBorder="1" applyAlignment="1" applyProtection="1">
      <alignment horizontal="center" vertical="center" wrapText="1"/>
      <protection locked="0"/>
    </xf>
    <xf numFmtId="0" fontId="1" fillId="2" borderId="1" xfId="1" applyFont="1" applyFill="1" applyBorder="1" applyAlignment="1" applyProtection="1">
      <alignment horizontal="justify" vertical="center" wrapText="1"/>
      <protection locked="0"/>
    </xf>
    <xf numFmtId="164" fontId="1" fillId="2" borderId="1" xfId="1" applyNumberFormat="1" applyFont="1" applyFill="1" applyBorder="1" applyAlignment="1" applyProtection="1">
      <alignment horizontal="justify" vertical="center" wrapText="1"/>
      <protection locked="0"/>
    </xf>
    <xf numFmtId="0" fontId="7" fillId="2" borderId="0" xfId="1" applyFont="1" applyFill="1" applyBorder="1" applyAlignment="1">
      <alignment vertical="top"/>
    </xf>
    <xf numFmtId="14" fontId="7" fillId="2" borderId="0" xfId="1" applyNumberFormat="1" applyFont="1" applyFill="1" applyBorder="1" applyAlignment="1">
      <alignment horizontal="left"/>
    </xf>
    <xf numFmtId="0" fontId="7" fillId="2" borderId="6" xfId="1" applyFont="1" applyFill="1" applyBorder="1" applyAlignment="1">
      <alignment horizontal="center" vertical="top"/>
    </xf>
    <xf numFmtId="0" fontId="7" fillId="2" borderId="0" xfId="1" applyFont="1" applyFill="1" applyAlignment="1">
      <alignment vertical="top"/>
    </xf>
    <xf numFmtId="0" fontId="8" fillId="2" borderId="5" xfId="1" applyFont="1" applyFill="1" applyBorder="1"/>
    <xf numFmtId="0" fontId="6" fillId="2" borderId="0" xfId="1" applyFont="1" applyFill="1" applyBorder="1"/>
    <xf numFmtId="0" fontId="8" fillId="2" borderId="0" xfId="1" applyFont="1" applyFill="1" applyBorder="1"/>
    <xf numFmtId="0" fontId="7" fillId="2" borderId="6" xfId="1" applyFont="1" applyFill="1" applyBorder="1" applyAlignment="1">
      <alignment vertical="top"/>
    </xf>
    <xf numFmtId="0" fontId="6" fillId="2" borderId="5" xfId="1" applyFont="1" applyFill="1" applyBorder="1"/>
    <xf numFmtId="0" fontId="7" fillId="2" borderId="0" xfId="1" applyFont="1" applyFill="1" applyBorder="1" applyAlignment="1">
      <alignment horizontal="center"/>
    </xf>
    <xf numFmtId="0" fontId="1" fillId="2" borderId="0" xfId="1" applyFont="1" applyFill="1" applyBorder="1" applyAlignment="1">
      <alignment horizontal="center"/>
    </xf>
    <xf numFmtId="0" fontId="1" fillId="2" borderId="6" xfId="1" applyFont="1" applyFill="1" applyBorder="1" applyAlignment="1">
      <alignment horizontal="center"/>
    </xf>
    <xf numFmtId="0" fontId="8" fillId="2" borderId="7" xfId="1" applyFont="1" applyFill="1" applyBorder="1"/>
    <xf numFmtId="0" fontId="6" fillId="2" borderId="8" xfId="1" applyFont="1" applyFill="1" applyBorder="1"/>
    <xf numFmtId="0" fontId="1" fillId="2" borderId="8" xfId="1" applyFill="1" applyBorder="1"/>
    <xf numFmtId="0" fontId="8" fillId="2" borderId="8" xfId="1" applyFont="1" applyFill="1" applyBorder="1"/>
    <xf numFmtId="0" fontId="1" fillId="2" borderId="9" xfId="1" applyFill="1" applyBorder="1" applyAlignment="1">
      <alignment horizontal="center"/>
    </xf>
    <xf numFmtId="0" fontId="1" fillId="2" borderId="0" xfId="1" applyFont="1" applyFill="1"/>
    <xf numFmtId="0" fontId="1" fillId="2" borderId="0" xfId="1" applyFill="1" applyAlignment="1">
      <alignment horizontal="center"/>
    </xf>
    <xf numFmtId="0" fontId="9" fillId="2" borderId="0" xfId="1" applyFont="1" applyFill="1" applyAlignment="1">
      <alignment vertical="top"/>
    </xf>
    <xf numFmtId="0" fontId="6" fillId="2" borderId="0" xfId="1" applyFont="1" applyFill="1" applyAlignment="1">
      <alignment vertical="top"/>
    </xf>
    <xf numFmtId="0" fontId="6" fillId="2" borderId="0" xfId="1" applyFont="1" applyFill="1"/>
    <xf numFmtId="0" fontId="7" fillId="2" borderId="0" xfId="1" applyFont="1" applyFill="1"/>
    <xf numFmtId="164" fontId="1" fillId="2" borderId="1" xfId="1" applyNumberFormat="1" applyFont="1" applyFill="1" applyBorder="1" applyAlignment="1" applyProtection="1">
      <alignment horizontal="center" vertical="center" wrapText="1"/>
      <protection locked="0"/>
    </xf>
    <xf numFmtId="0" fontId="10" fillId="4" borderId="1" xfId="0" applyFont="1" applyFill="1" applyBorder="1" applyAlignment="1">
      <alignment horizontal="left" vertical="center" wrapText="1"/>
    </xf>
    <xf numFmtId="0" fontId="0" fillId="0" borderId="1" xfId="0" applyBorder="1"/>
    <xf numFmtId="0" fontId="1" fillId="0" borderId="10" xfId="2" applyFont="1" applyFill="1" applyBorder="1" applyAlignment="1">
      <alignment horizontal="justify" vertical="center" wrapText="1"/>
    </xf>
    <xf numFmtId="0" fontId="1" fillId="5" borderId="10" xfId="2" applyFont="1" applyFill="1" applyBorder="1" applyAlignment="1">
      <alignment horizontal="justify" vertical="center" wrapText="1"/>
    </xf>
    <xf numFmtId="0" fontId="1" fillId="2" borderId="0" xfId="2" applyFont="1" applyFill="1" applyBorder="1"/>
    <xf numFmtId="0" fontId="1" fillId="2" borderId="0" xfId="2" applyFont="1" applyFill="1"/>
    <xf numFmtId="0" fontId="1" fillId="2" borderId="0" xfId="2" applyFont="1" applyFill="1" applyAlignment="1">
      <alignment horizontal="center"/>
    </xf>
    <xf numFmtId="0" fontId="1" fillId="5" borderId="1" xfId="2" applyFont="1" applyFill="1" applyBorder="1" applyAlignment="1">
      <alignment vertical="top" wrapText="1"/>
    </xf>
    <xf numFmtId="0" fontId="16" fillId="0" borderId="0" xfId="0" applyFont="1" applyAlignment="1">
      <alignment horizontal="center"/>
    </xf>
    <xf numFmtId="0" fontId="0" fillId="0" borderId="1" xfId="0" applyBorder="1" applyAlignment="1">
      <alignment wrapText="1"/>
    </xf>
    <xf numFmtId="0" fontId="17" fillId="0" borderId="0" xfId="0" applyFont="1"/>
    <xf numFmtId="0" fontId="0" fillId="0" borderId="0" xfId="0" applyAlignment="1">
      <alignment wrapText="1"/>
    </xf>
    <xf numFmtId="0" fontId="17" fillId="0" borderId="0" xfId="0" applyFont="1" applyAlignment="1">
      <alignment vertical="center"/>
    </xf>
    <xf numFmtId="0" fontId="18" fillId="7" borderId="1" xfId="0" applyFont="1" applyFill="1" applyBorder="1" applyAlignment="1">
      <alignment horizontal="left" vertical="top"/>
    </xf>
    <xf numFmtId="0" fontId="18" fillId="7" borderId="1" xfId="0" applyFont="1" applyFill="1" applyBorder="1" applyAlignment="1">
      <alignment horizontal="left" vertical="top" wrapText="1"/>
    </xf>
    <xf numFmtId="0" fontId="0" fillId="0" borderId="0" xfId="0" applyAlignment="1">
      <alignment horizontal="left" vertical="top"/>
    </xf>
    <xf numFmtId="0" fontId="20" fillId="0" borderId="1" xfId="0" applyFont="1" applyFill="1" applyBorder="1" applyAlignment="1">
      <alignment horizontal="left" vertical="top" wrapText="1"/>
    </xf>
    <xf numFmtId="0" fontId="21" fillId="10" borderId="1" xfId="0" applyFont="1" applyFill="1" applyBorder="1" applyAlignment="1">
      <alignment wrapText="1"/>
    </xf>
    <xf numFmtId="165" fontId="24" fillId="0" borderId="1" xfId="0" applyNumberFormat="1" applyFont="1" applyFill="1" applyBorder="1"/>
    <xf numFmtId="0" fontId="24" fillId="0" borderId="1" xfId="0" applyFont="1" applyFill="1" applyBorder="1"/>
    <xf numFmtId="0" fontId="24" fillId="0" borderId="1" xfId="0" applyFont="1" applyFill="1" applyBorder="1" applyAlignment="1">
      <alignment wrapText="1"/>
    </xf>
    <xf numFmtId="15" fontId="24" fillId="0" borderId="1" xfId="0" applyNumberFormat="1" applyFont="1" applyFill="1" applyBorder="1" applyAlignment="1">
      <alignment wrapText="1"/>
    </xf>
    <xf numFmtId="0" fontId="25" fillId="10" borderId="1" xfId="0" applyFont="1" applyFill="1" applyBorder="1" applyAlignment="1">
      <alignment horizontal="left" vertical="center" wrapText="1"/>
    </xf>
    <xf numFmtId="0" fontId="0" fillId="0" borderId="15" xfId="0" applyBorder="1"/>
    <xf numFmtId="0" fontId="0" fillId="0" borderId="15" xfId="0" applyBorder="1" applyAlignment="1">
      <alignment wrapText="1"/>
    </xf>
    <xf numFmtId="0" fontId="21" fillId="10" borderId="14" xfId="0" applyFont="1" applyFill="1" applyBorder="1" applyAlignment="1">
      <alignment horizontal="center" wrapText="1"/>
    </xf>
    <xf numFmtId="0" fontId="21" fillId="7" borderId="14" xfId="0" applyFont="1" applyFill="1" applyBorder="1" applyAlignment="1">
      <alignment horizontal="center"/>
    </xf>
    <xf numFmtId="0" fontId="21" fillId="7" borderId="14" xfId="0" applyFont="1" applyFill="1" applyBorder="1" applyAlignment="1">
      <alignment horizontal="center" wrapText="1"/>
    </xf>
    <xf numFmtId="0" fontId="3" fillId="2" borderId="5" xfId="1" applyFont="1" applyFill="1" applyBorder="1" applyAlignment="1" applyProtection="1">
      <alignment horizontal="center" vertical="center" wrapText="1"/>
      <protection locked="0"/>
    </xf>
    <xf numFmtId="0" fontId="3" fillId="2" borderId="0" xfId="1" applyFont="1" applyFill="1" applyBorder="1" applyAlignment="1" applyProtection="1">
      <alignment horizontal="center" vertical="center" wrapText="1"/>
      <protection locked="0"/>
    </xf>
    <xf numFmtId="0" fontId="3" fillId="2" borderId="6" xfId="1" applyFont="1" applyFill="1" applyBorder="1" applyAlignment="1" applyProtection="1">
      <alignment horizontal="center" vertical="center" wrapText="1"/>
      <protection locked="0"/>
    </xf>
    <xf numFmtId="0" fontId="4" fillId="2" borderId="5" xfId="1" applyFont="1" applyFill="1" applyBorder="1" applyAlignment="1">
      <alignment horizontal="left"/>
    </xf>
    <xf numFmtId="0" fontId="1" fillId="2" borderId="0" xfId="1" applyFill="1" applyBorder="1" applyAlignment="1">
      <alignment horizontal="left"/>
    </xf>
    <xf numFmtId="0" fontId="1" fillId="2" borderId="6" xfId="1" applyFill="1" applyBorder="1" applyAlignment="1">
      <alignment horizontal="left"/>
    </xf>
    <xf numFmtId="0" fontId="11" fillId="0" borderId="10" xfId="2" applyFont="1" applyFill="1" applyBorder="1" applyAlignment="1">
      <alignment vertical="center" wrapText="1"/>
    </xf>
    <xf numFmtId="0" fontId="12" fillId="0" borderId="10" xfId="2" applyFont="1" applyFill="1" applyBorder="1" applyAlignment="1">
      <alignment vertical="center" wrapText="1"/>
    </xf>
    <xf numFmtId="0" fontId="13" fillId="6" borderId="1" xfId="2" applyFont="1" applyFill="1" applyBorder="1" applyAlignment="1">
      <alignment horizontal="center" vertical="center" wrapText="1"/>
    </xf>
    <xf numFmtId="0" fontId="14" fillId="6" borderId="1" xfId="2" applyFont="1" applyFill="1" applyBorder="1" applyAlignment="1">
      <alignment horizontal="center" vertical="center"/>
    </xf>
    <xf numFmtId="0" fontId="1" fillId="2" borderId="1" xfId="2" applyFont="1" applyFill="1" applyBorder="1" applyAlignment="1">
      <alignment horizontal="left" vertical="top" wrapText="1"/>
    </xf>
    <xf numFmtId="0" fontId="1" fillId="0" borderId="1" xfId="2" applyFont="1" applyBorder="1" applyAlignment="1">
      <alignment horizontal="left" vertical="top" wrapText="1"/>
    </xf>
    <xf numFmtId="0" fontId="1" fillId="2" borderId="11" xfId="2" applyFont="1" applyFill="1" applyBorder="1" applyAlignment="1">
      <alignment horizontal="left" wrapText="1"/>
    </xf>
    <xf numFmtId="0" fontId="1" fillId="2" borderId="12" xfId="2" applyFont="1" applyFill="1" applyBorder="1" applyAlignment="1">
      <alignment horizontal="left" wrapText="1"/>
    </xf>
    <xf numFmtId="0" fontId="22" fillId="7" borderId="0" xfId="0" applyFont="1" applyFill="1" applyAlignment="1">
      <alignment horizontal="left"/>
    </xf>
    <xf numFmtId="0" fontId="21" fillId="7" borderId="14" xfId="0" applyFont="1" applyFill="1" applyBorder="1" applyAlignment="1">
      <alignment horizontal="center"/>
    </xf>
    <xf numFmtId="0" fontId="21" fillId="7" borderId="14" xfId="0" applyFont="1" applyFill="1" applyBorder="1" applyAlignment="1">
      <alignment horizontal="center" wrapText="1"/>
    </xf>
    <xf numFmtId="0" fontId="23" fillId="10" borderId="13" xfId="0" applyFont="1" applyFill="1" applyBorder="1" applyAlignment="1">
      <alignment horizontal="center"/>
    </xf>
    <xf numFmtId="0" fontId="15" fillId="8" borderId="1" xfId="0" applyFont="1" applyFill="1" applyBorder="1" applyAlignment="1">
      <alignment horizontal="center"/>
    </xf>
    <xf numFmtId="0" fontId="19" fillId="9" borderId="1" xfId="0" applyFont="1" applyFill="1" applyBorder="1" applyAlignment="1">
      <alignment horizontal="center" vertical="top" wrapText="1"/>
    </xf>
  </cellXfs>
  <cellStyles count="3">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2</xdr:col>
      <xdr:colOff>104775</xdr:colOff>
      <xdr:row>1</xdr:row>
      <xdr:rowOff>219075</xdr:rowOff>
    </xdr:from>
    <xdr:to>
      <xdr:col>7</xdr:col>
      <xdr:colOff>0</xdr:colOff>
      <xdr:row>2</xdr:row>
      <xdr:rowOff>219075</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1390650" y="457200"/>
          <a:ext cx="6324600" cy="228600"/>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3" name="Line 3">
          <a:extLst>
            <a:ext uri="{FF2B5EF4-FFF2-40B4-BE49-F238E27FC236}">
              <a16:creationId xmlns:a16="http://schemas.microsoft.com/office/drawing/2014/main" id="{00000000-0008-0000-0000-000003000000}"/>
            </a:ext>
          </a:extLst>
        </xdr:cNvPr>
        <xdr:cNvSpPr>
          <a:spLocks noChangeShapeType="1"/>
        </xdr:cNvSpPr>
      </xdr:nvSpPr>
      <xdr:spPr bwMode="auto">
        <a:xfrm>
          <a:off x="304800" y="438150"/>
          <a:ext cx="74104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4" name="Line 4">
          <a:extLst>
            <a:ext uri="{FF2B5EF4-FFF2-40B4-BE49-F238E27FC236}">
              <a16:creationId xmlns:a16="http://schemas.microsoft.com/office/drawing/2014/main" id="{00000000-0008-0000-0000-000004000000}"/>
            </a:ext>
          </a:extLst>
        </xdr:cNvPr>
        <xdr:cNvSpPr>
          <a:spLocks noChangeShapeType="1"/>
        </xdr:cNvSpPr>
      </xdr:nvSpPr>
      <xdr:spPr bwMode="auto">
        <a:xfrm>
          <a:off x="304800" y="666750"/>
          <a:ext cx="74104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114300</xdr:colOff>
      <xdr:row>1</xdr:row>
      <xdr:rowOff>85725</xdr:rowOff>
    </xdr:from>
    <xdr:to>
      <xdr:col>2</xdr:col>
      <xdr:colOff>38100</xdr:colOff>
      <xdr:row>3</xdr:row>
      <xdr:rowOff>76200</xdr:rowOff>
    </xdr:to>
    <xdr:pic>
      <xdr:nvPicPr>
        <xdr:cNvPr id="5" name="Picture 5">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323850"/>
          <a:ext cx="9048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504825</xdr:colOff>
      <xdr:row>25</xdr:row>
      <xdr:rowOff>142875</xdr:rowOff>
    </xdr:from>
    <xdr:to>
      <xdr:col>5</xdr:col>
      <xdr:colOff>581025</xdr:colOff>
      <xdr:row>26</xdr:row>
      <xdr:rowOff>133350</xdr:rowOff>
    </xdr:to>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562225" y="7439025"/>
          <a:ext cx="269557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1390650" y="457200"/>
          <a:ext cx="6324600" cy="228600"/>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8" name="Line 9">
          <a:extLst>
            <a:ext uri="{FF2B5EF4-FFF2-40B4-BE49-F238E27FC236}">
              <a16:creationId xmlns:a16="http://schemas.microsoft.com/office/drawing/2014/main" id="{00000000-0008-0000-0000-000008000000}"/>
            </a:ext>
          </a:extLst>
        </xdr:cNvPr>
        <xdr:cNvSpPr>
          <a:spLocks noChangeShapeType="1"/>
        </xdr:cNvSpPr>
      </xdr:nvSpPr>
      <xdr:spPr bwMode="auto">
        <a:xfrm>
          <a:off x="304800" y="438150"/>
          <a:ext cx="74104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9" name="Line 10">
          <a:extLst>
            <a:ext uri="{FF2B5EF4-FFF2-40B4-BE49-F238E27FC236}">
              <a16:creationId xmlns:a16="http://schemas.microsoft.com/office/drawing/2014/main" id="{00000000-0008-0000-0000-000009000000}"/>
            </a:ext>
          </a:extLst>
        </xdr:cNvPr>
        <xdr:cNvSpPr>
          <a:spLocks noChangeShapeType="1"/>
        </xdr:cNvSpPr>
      </xdr:nvSpPr>
      <xdr:spPr bwMode="auto">
        <a:xfrm>
          <a:off x="304800" y="666750"/>
          <a:ext cx="74104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114300</xdr:colOff>
      <xdr:row>1</xdr:row>
      <xdr:rowOff>85725</xdr:rowOff>
    </xdr:from>
    <xdr:to>
      <xdr:col>2</xdr:col>
      <xdr:colOff>38100</xdr:colOff>
      <xdr:row>3</xdr:row>
      <xdr:rowOff>76200</xdr:rowOff>
    </xdr:to>
    <xdr:pic>
      <xdr:nvPicPr>
        <xdr:cNvPr id="10" name="Picture 11">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323850"/>
          <a:ext cx="9048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1</xdr:row>
      <xdr:rowOff>219075</xdr:rowOff>
    </xdr:from>
    <xdr:to>
      <xdr:col>7</xdr:col>
      <xdr:colOff>0</xdr:colOff>
      <xdr:row>2</xdr:row>
      <xdr:rowOff>219075</xdr:rowOff>
    </xdr:to>
    <xdr:sp macro="" textlink="">
      <xdr:nvSpPr>
        <xdr:cNvPr id="11" name="Text Box 13">
          <a:extLst>
            <a:ext uri="{FF2B5EF4-FFF2-40B4-BE49-F238E27FC236}">
              <a16:creationId xmlns:a16="http://schemas.microsoft.com/office/drawing/2014/main" id="{00000000-0008-0000-0000-00000B000000}"/>
            </a:ext>
          </a:extLst>
        </xdr:cNvPr>
        <xdr:cNvSpPr txBox="1">
          <a:spLocks noChangeArrowheads="1"/>
        </xdr:cNvSpPr>
      </xdr:nvSpPr>
      <xdr:spPr bwMode="auto">
        <a:xfrm>
          <a:off x="1390650" y="457200"/>
          <a:ext cx="6324600" cy="228600"/>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12" name="Line 15">
          <a:extLst>
            <a:ext uri="{FF2B5EF4-FFF2-40B4-BE49-F238E27FC236}">
              <a16:creationId xmlns:a16="http://schemas.microsoft.com/office/drawing/2014/main" id="{00000000-0008-0000-0000-00000C000000}"/>
            </a:ext>
          </a:extLst>
        </xdr:cNvPr>
        <xdr:cNvSpPr>
          <a:spLocks noChangeShapeType="1"/>
        </xdr:cNvSpPr>
      </xdr:nvSpPr>
      <xdr:spPr bwMode="auto">
        <a:xfrm>
          <a:off x="304800" y="438150"/>
          <a:ext cx="74104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3" name="Line 16">
          <a:extLst>
            <a:ext uri="{FF2B5EF4-FFF2-40B4-BE49-F238E27FC236}">
              <a16:creationId xmlns:a16="http://schemas.microsoft.com/office/drawing/2014/main" id="{00000000-0008-0000-0000-00000D000000}"/>
            </a:ext>
          </a:extLst>
        </xdr:cNvPr>
        <xdr:cNvSpPr>
          <a:spLocks noChangeShapeType="1"/>
        </xdr:cNvSpPr>
      </xdr:nvSpPr>
      <xdr:spPr bwMode="auto">
        <a:xfrm>
          <a:off x="304800" y="666750"/>
          <a:ext cx="74104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114300</xdr:colOff>
      <xdr:row>1</xdr:row>
      <xdr:rowOff>85725</xdr:rowOff>
    </xdr:from>
    <xdr:to>
      <xdr:col>2</xdr:col>
      <xdr:colOff>38100</xdr:colOff>
      <xdr:row>3</xdr:row>
      <xdr:rowOff>76200</xdr:rowOff>
    </xdr:to>
    <xdr:pic>
      <xdr:nvPicPr>
        <xdr:cNvPr id="14" name="Picture 17">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323850"/>
          <a:ext cx="9048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1</xdr:row>
      <xdr:rowOff>219075</xdr:rowOff>
    </xdr:from>
    <xdr:to>
      <xdr:col>7</xdr:col>
      <xdr:colOff>0</xdr:colOff>
      <xdr:row>2</xdr:row>
      <xdr:rowOff>219075</xdr:rowOff>
    </xdr:to>
    <xdr:sp macro="" textlink="">
      <xdr:nvSpPr>
        <xdr:cNvPr id="15" name="Text Box 19">
          <a:extLst>
            <a:ext uri="{FF2B5EF4-FFF2-40B4-BE49-F238E27FC236}">
              <a16:creationId xmlns:a16="http://schemas.microsoft.com/office/drawing/2014/main" id="{00000000-0008-0000-0000-00000F000000}"/>
            </a:ext>
          </a:extLst>
        </xdr:cNvPr>
        <xdr:cNvSpPr txBox="1">
          <a:spLocks noChangeArrowheads="1"/>
        </xdr:cNvSpPr>
      </xdr:nvSpPr>
      <xdr:spPr bwMode="auto">
        <a:xfrm>
          <a:off x="1390650" y="457200"/>
          <a:ext cx="6324600" cy="228600"/>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314325</xdr:colOff>
      <xdr:row>7</xdr:row>
      <xdr:rowOff>19050</xdr:rowOff>
    </xdr:from>
    <xdr:to>
      <xdr:col>6</xdr:col>
      <xdr:colOff>847725</xdr:colOff>
      <xdr:row>14</xdr:row>
      <xdr:rowOff>9525</xdr:rowOff>
    </xdr:to>
    <xdr:pic>
      <xdr:nvPicPr>
        <xdr:cNvPr id="16" name="Picture 20" descr="content">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52499" b="83333"/>
        <a:stretch>
          <a:fillRect/>
        </a:stretch>
      </xdr:blipFill>
      <xdr:spPr bwMode="auto">
        <a:xfrm>
          <a:off x="619125" y="3800475"/>
          <a:ext cx="67532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xdr:row>
      <xdr:rowOff>200025</xdr:rowOff>
    </xdr:from>
    <xdr:to>
      <xdr:col>7</xdr:col>
      <xdr:colOff>0</xdr:colOff>
      <xdr:row>1</xdr:row>
      <xdr:rowOff>200025</xdr:rowOff>
    </xdr:to>
    <xdr:sp macro="" textlink="">
      <xdr:nvSpPr>
        <xdr:cNvPr id="17" name="Line 21">
          <a:extLst>
            <a:ext uri="{FF2B5EF4-FFF2-40B4-BE49-F238E27FC236}">
              <a16:creationId xmlns:a16="http://schemas.microsoft.com/office/drawing/2014/main" id="{00000000-0008-0000-0000-000011000000}"/>
            </a:ext>
          </a:extLst>
        </xdr:cNvPr>
        <xdr:cNvSpPr>
          <a:spLocks noChangeShapeType="1"/>
        </xdr:cNvSpPr>
      </xdr:nvSpPr>
      <xdr:spPr bwMode="auto">
        <a:xfrm>
          <a:off x="304800" y="438150"/>
          <a:ext cx="74104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8" name="Line 22">
          <a:extLst>
            <a:ext uri="{FF2B5EF4-FFF2-40B4-BE49-F238E27FC236}">
              <a16:creationId xmlns:a16="http://schemas.microsoft.com/office/drawing/2014/main" id="{00000000-0008-0000-0000-000012000000}"/>
            </a:ext>
          </a:extLst>
        </xdr:cNvPr>
        <xdr:cNvSpPr>
          <a:spLocks noChangeShapeType="1"/>
        </xdr:cNvSpPr>
      </xdr:nvSpPr>
      <xdr:spPr bwMode="auto">
        <a:xfrm>
          <a:off x="304800" y="666750"/>
          <a:ext cx="74104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114300</xdr:colOff>
      <xdr:row>1</xdr:row>
      <xdr:rowOff>85725</xdr:rowOff>
    </xdr:from>
    <xdr:to>
      <xdr:col>2</xdr:col>
      <xdr:colOff>38100</xdr:colOff>
      <xdr:row>3</xdr:row>
      <xdr:rowOff>76200</xdr:rowOff>
    </xdr:to>
    <xdr:pic>
      <xdr:nvPicPr>
        <xdr:cNvPr id="19" name="Picture 23">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323850"/>
          <a:ext cx="9048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47625</xdr:colOff>
      <xdr:row>23</xdr:row>
      <xdr:rowOff>133350</xdr:rowOff>
    </xdr:from>
    <xdr:to>
      <xdr:col>6</xdr:col>
      <xdr:colOff>1152525</xdr:colOff>
      <xdr:row>25</xdr:row>
      <xdr:rowOff>123825</xdr:rowOff>
    </xdr:to>
    <xdr:pic>
      <xdr:nvPicPr>
        <xdr:cNvPr id="20" name="Picture 27" descr="footer">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2425" y="7105650"/>
          <a:ext cx="7324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0</xdr:col>
      <xdr:colOff>971550</xdr:colOff>
      <xdr:row>3</xdr:row>
      <xdr:rowOff>152400</xdr:rowOff>
    </xdr:to>
    <xdr:pic>
      <xdr:nvPicPr>
        <xdr:cNvPr id="2" name="Picture 4">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200"/>
          <a:ext cx="923925" cy="4762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opLeftCell="A13" workbookViewId="0">
      <selection activeCell="I8" sqref="I8"/>
    </sheetView>
  </sheetViews>
  <sheetFormatPr defaultColWidth="9.85546875" defaultRowHeight="12.75" x14ac:dyDescent="0.2"/>
  <cols>
    <col min="1" max="1" width="4.5703125" style="1" customWidth="1"/>
    <col min="2" max="2" width="14.7109375" style="4" customWidth="1"/>
    <col min="3" max="3" width="11.5703125" style="38" customWidth="1"/>
    <col min="4" max="4" width="19.5703125" style="4" customWidth="1"/>
    <col min="5" max="5" width="19.7109375" style="4" customWidth="1"/>
    <col min="6" max="6" width="27.7109375" style="4" customWidth="1"/>
    <col min="7" max="7" width="17.85546875" style="39" customWidth="1"/>
    <col min="8" max="16384" width="9.85546875" style="4"/>
  </cols>
  <sheetData>
    <row r="1" spans="2:8" ht="18.75" thickBot="1" x14ac:dyDescent="0.3">
      <c r="B1" s="2"/>
      <c r="C1" s="2"/>
      <c r="D1" s="1"/>
      <c r="E1" s="1"/>
      <c r="F1" s="1"/>
      <c r="G1" s="3"/>
    </row>
    <row r="2" spans="2:8" ht="18" x14ac:dyDescent="0.25">
      <c r="B2" s="5"/>
      <c r="C2" s="6"/>
      <c r="D2" s="7"/>
      <c r="E2" s="7"/>
      <c r="F2" s="7"/>
      <c r="G2" s="8"/>
    </row>
    <row r="3" spans="2:8" ht="18" x14ac:dyDescent="0.25">
      <c r="B3" s="9"/>
      <c r="C3" s="2"/>
      <c r="D3" s="1"/>
      <c r="E3" s="1"/>
      <c r="F3" s="1"/>
      <c r="G3" s="10"/>
    </row>
    <row r="4" spans="2:8" ht="18" x14ac:dyDescent="0.25">
      <c r="B4" s="9"/>
      <c r="C4" s="2"/>
      <c r="D4" s="1"/>
      <c r="E4" s="1"/>
      <c r="F4" s="1"/>
      <c r="G4" s="10"/>
    </row>
    <row r="5" spans="2:8" ht="29.25" customHeight="1" x14ac:dyDescent="0.2">
      <c r="B5" s="73" t="s">
        <v>9</v>
      </c>
      <c r="C5" s="74"/>
      <c r="D5" s="74"/>
      <c r="E5" s="74"/>
      <c r="F5" s="74"/>
      <c r="G5" s="75"/>
    </row>
    <row r="6" spans="2:8" ht="29.25" customHeight="1" x14ac:dyDescent="0.2">
      <c r="B6" s="73"/>
      <c r="C6" s="74"/>
      <c r="D6" s="74"/>
      <c r="E6" s="74"/>
      <c r="F6" s="74"/>
      <c r="G6" s="75"/>
    </row>
    <row r="7" spans="2:8" x14ac:dyDescent="0.2">
      <c r="B7" s="11"/>
      <c r="C7" s="3"/>
      <c r="D7" s="3"/>
      <c r="E7" s="3"/>
      <c r="F7" s="3"/>
      <c r="G7" s="12"/>
    </row>
    <row r="8" spans="2:8" x14ac:dyDescent="0.2">
      <c r="B8" s="13"/>
      <c r="C8" s="14"/>
      <c r="D8" s="1"/>
      <c r="E8" s="1"/>
      <c r="F8" s="1"/>
      <c r="G8" s="12"/>
    </row>
    <row r="9" spans="2:8" x14ac:dyDescent="0.2">
      <c r="B9" s="13"/>
      <c r="C9" s="14"/>
      <c r="D9" s="1"/>
      <c r="E9" s="1"/>
      <c r="F9" s="1"/>
      <c r="G9" s="12"/>
    </row>
    <row r="10" spans="2:8" x14ac:dyDescent="0.2">
      <c r="B10" s="13"/>
      <c r="C10" s="14"/>
      <c r="D10" s="1"/>
      <c r="E10" s="1"/>
      <c r="F10" s="1"/>
      <c r="G10" s="12"/>
    </row>
    <row r="11" spans="2:8" x14ac:dyDescent="0.2">
      <c r="B11" s="13"/>
      <c r="C11" s="14"/>
      <c r="D11" s="1"/>
      <c r="E11" s="1"/>
      <c r="F11" s="1"/>
      <c r="G11" s="12"/>
    </row>
    <row r="12" spans="2:8" x14ac:dyDescent="0.2">
      <c r="B12" s="13"/>
      <c r="C12" s="14"/>
      <c r="D12" s="1"/>
      <c r="E12" s="1"/>
      <c r="F12" s="1"/>
      <c r="G12" s="12"/>
    </row>
    <row r="13" spans="2:8" x14ac:dyDescent="0.2">
      <c r="B13" s="13"/>
      <c r="C13" s="14"/>
      <c r="D13" s="1"/>
      <c r="E13" s="1"/>
      <c r="F13" s="1"/>
      <c r="G13" s="12"/>
    </row>
    <row r="14" spans="2:8" ht="14.25" x14ac:dyDescent="0.2">
      <c r="B14" s="76"/>
      <c r="C14" s="77"/>
      <c r="D14" s="77"/>
      <c r="E14" s="77"/>
      <c r="F14" s="77"/>
      <c r="G14" s="78"/>
      <c r="H14" s="15"/>
    </row>
    <row r="15" spans="2:8" x14ac:dyDescent="0.2">
      <c r="B15" s="13"/>
      <c r="C15" s="14"/>
      <c r="D15" s="1"/>
      <c r="E15" s="1"/>
      <c r="F15" s="1"/>
      <c r="G15" s="12"/>
    </row>
    <row r="16" spans="2:8" x14ac:dyDescent="0.2">
      <c r="B16" s="13"/>
      <c r="C16" s="14"/>
      <c r="D16" s="1"/>
      <c r="E16" s="1"/>
      <c r="F16" s="1"/>
      <c r="G16" s="12"/>
    </row>
    <row r="17" spans="1:8" x14ac:dyDescent="0.2">
      <c r="B17" s="13"/>
      <c r="C17" s="14"/>
      <c r="D17" s="1"/>
      <c r="E17" s="1"/>
      <c r="F17" s="1"/>
      <c r="G17" s="12"/>
    </row>
    <row r="18" spans="1:8" ht="25.5" x14ac:dyDescent="0.2">
      <c r="B18" s="13"/>
      <c r="C18" s="16"/>
      <c r="D18" s="16" t="s">
        <v>0</v>
      </c>
      <c r="E18" s="16" t="s">
        <v>1</v>
      </c>
      <c r="F18" s="16" t="s">
        <v>2</v>
      </c>
      <c r="G18" s="10"/>
      <c r="H18" s="1"/>
    </row>
    <row r="19" spans="1:8" ht="28.5" customHeight="1" x14ac:dyDescent="0.2">
      <c r="B19" s="13"/>
      <c r="C19" s="17" t="s">
        <v>3</v>
      </c>
      <c r="D19" s="18" t="s">
        <v>10</v>
      </c>
      <c r="E19" s="18"/>
      <c r="F19" s="18"/>
      <c r="G19" s="10"/>
      <c r="H19" s="1"/>
    </row>
    <row r="20" spans="1:8" ht="21" customHeight="1" x14ac:dyDescent="0.2">
      <c r="B20" s="13"/>
      <c r="C20" s="17" t="s">
        <v>4</v>
      </c>
      <c r="D20" s="18"/>
      <c r="E20" s="18"/>
      <c r="F20" s="18"/>
      <c r="G20" s="10"/>
      <c r="H20" s="1"/>
    </row>
    <row r="21" spans="1:8" ht="21" customHeight="1" x14ac:dyDescent="0.2">
      <c r="B21" s="13"/>
      <c r="C21" s="17" t="s">
        <v>5</v>
      </c>
      <c r="D21" s="19"/>
      <c r="E21" s="19"/>
      <c r="F21" s="19"/>
      <c r="G21" s="10"/>
      <c r="H21" s="1"/>
    </row>
    <row r="22" spans="1:8" ht="21" customHeight="1" x14ac:dyDescent="0.2">
      <c r="B22" s="13"/>
      <c r="C22" s="17" t="s">
        <v>6</v>
      </c>
      <c r="D22" s="44">
        <v>43816</v>
      </c>
      <c r="E22" s="20"/>
      <c r="F22" s="20"/>
      <c r="G22" s="10"/>
      <c r="H22" s="1"/>
    </row>
    <row r="23" spans="1:8" s="24" customFormat="1" x14ac:dyDescent="0.2">
      <c r="A23" s="21"/>
      <c r="B23" s="13"/>
      <c r="C23" s="22"/>
      <c r="D23" s="1"/>
      <c r="E23" s="1"/>
      <c r="F23" s="21"/>
      <c r="G23" s="23"/>
    </row>
    <row r="24" spans="1:8" s="24" customFormat="1" x14ac:dyDescent="0.2">
      <c r="A24" s="21"/>
      <c r="B24" s="25"/>
      <c r="C24" s="26" t="s">
        <v>7</v>
      </c>
      <c r="D24" s="1"/>
      <c r="E24" s="1"/>
      <c r="F24" s="27"/>
      <c r="G24" s="28"/>
    </row>
    <row r="25" spans="1:8" s="24" customFormat="1" x14ac:dyDescent="0.2">
      <c r="A25" s="21"/>
      <c r="B25" s="29"/>
      <c r="C25" s="26"/>
      <c r="D25" s="1"/>
      <c r="E25" s="1"/>
      <c r="F25" s="21"/>
      <c r="G25" s="23"/>
    </row>
    <row r="26" spans="1:8" x14ac:dyDescent="0.2">
      <c r="B26" s="13"/>
      <c r="C26" s="30"/>
      <c r="D26" s="31"/>
      <c r="E26" s="31"/>
      <c r="F26" s="31"/>
      <c r="G26" s="32"/>
    </row>
    <row r="27" spans="1:8" ht="13.5" thickBot="1" x14ac:dyDescent="0.25">
      <c r="B27" s="33"/>
      <c r="C27" s="34"/>
      <c r="D27" s="35"/>
      <c r="E27" s="35"/>
      <c r="F27" s="36" t="s">
        <v>8</v>
      </c>
      <c r="G27" s="37"/>
    </row>
    <row r="28" spans="1:8" ht="12.75" customHeight="1" x14ac:dyDescent="0.2"/>
    <row r="29" spans="1:8" x14ac:dyDescent="0.2">
      <c r="B29" s="40"/>
      <c r="C29" s="41"/>
      <c r="D29" s="42"/>
    </row>
    <row r="30" spans="1:8" x14ac:dyDescent="0.2">
      <c r="B30" s="43"/>
    </row>
  </sheetData>
  <mergeCells count="2">
    <mergeCell ref="B5:G6"/>
    <mergeCell ref="B14:G1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workbookViewId="0">
      <selection activeCell="C9" sqref="C9"/>
    </sheetView>
  </sheetViews>
  <sheetFormatPr defaultColWidth="9.85546875" defaultRowHeight="12.75" x14ac:dyDescent="0.2"/>
  <cols>
    <col min="1" max="1" width="15.7109375" style="49" customWidth="1"/>
    <col min="2" max="2" width="7.85546875" style="50" customWidth="1"/>
    <col min="3" max="3" width="41.42578125" style="50" customWidth="1"/>
    <col min="4" max="4" width="86.5703125" style="50" customWidth="1"/>
    <col min="5" max="5" width="15.85546875" style="50" customWidth="1"/>
    <col min="6" max="6" width="22.7109375" style="51" bestFit="1" customWidth="1"/>
    <col min="7" max="16384" width="9.85546875" style="50"/>
  </cols>
  <sheetData>
    <row r="1" spans="2:15" s="47" customFormat="1" ht="57" customHeight="1" thickBot="1" x14ac:dyDescent="0.3">
      <c r="B1" s="79" t="s">
        <v>13</v>
      </c>
      <c r="C1" s="80"/>
      <c r="D1" s="80"/>
      <c r="E1" s="80"/>
      <c r="F1" s="80"/>
      <c r="G1" s="80"/>
      <c r="H1" s="80"/>
      <c r="N1" s="48"/>
      <c r="O1" s="48"/>
    </row>
    <row r="2" spans="2:15" ht="13.5" thickTop="1" x14ac:dyDescent="0.2"/>
    <row r="3" spans="2:15" ht="3" customHeight="1" x14ac:dyDescent="0.2"/>
    <row r="4" spans="2:15" ht="29.1" customHeight="1" x14ac:dyDescent="0.2">
      <c r="C4" s="81" t="s">
        <v>9</v>
      </c>
      <c r="D4" s="82"/>
    </row>
    <row r="5" spans="2:15" x14ac:dyDescent="0.2">
      <c r="C5" s="85" t="s">
        <v>79</v>
      </c>
      <c r="D5" s="86"/>
    </row>
    <row r="6" spans="2:15" ht="45" customHeight="1" x14ac:dyDescent="0.2">
      <c r="C6" s="83" t="s">
        <v>80</v>
      </c>
      <c r="D6" s="84"/>
    </row>
    <row r="7" spans="2:15" ht="14.25" x14ac:dyDescent="0.2">
      <c r="C7" s="45" t="s">
        <v>81</v>
      </c>
      <c r="D7" s="52"/>
    </row>
    <row r="8" spans="2:15" ht="25.5" x14ac:dyDescent="0.2">
      <c r="C8" s="67" t="s">
        <v>82</v>
      </c>
      <c r="D8" s="52" t="s">
        <v>83</v>
      </c>
    </row>
    <row r="13" spans="2:15" ht="360.75" customHeight="1" x14ac:dyDescent="0.2"/>
    <row r="15" spans="2:15" ht="153" customHeight="1" x14ac:dyDescent="0.2"/>
    <row r="18" ht="33" customHeight="1" x14ac:dyDescent="0.2"/>
    <row r="19" ht="33" customHeight="1" x14ac:dyDescent="0.2"/>
    <row r="20" ht="25.5" customHeight="1" x14ac:dyDescent="0.2"/>
    <row r="21" ht="25.5" customHeight="1" x14ac:dyDescent="0.2"/>
    <row r="22" ht="18" customHeight="1" x14ac:dyDescent="0.2"/>
    <row r="23" ht="25.5" customHeight="1" x14ac:dyDescent="0.2"/>
    <row r="24" ht="25.5" customHeight="1" x14ac:dyDescent="0.2"/>
  </sheetData>
  <mergeCells count="4">
    <mergeCell ref="B1:H1"/>
    <mergeCell ref="C4:D4"/>
    <mergeCell ref="C6:D6"/>
    <mergeCell ref="C5:D5"/>
  </mergeCells>
  <dataValidations count="2">
    <dataValidation type="list" allowBlank="1" showInputMessage="1" showErrorMessage="1" sqref="H1">
      <formula1>"Functional, External Interface, User Interface,System Interface, Non functional"</formula1>
    </dataValidation>
    <dataValidation type="list" allowBlank="1" showInputMessage="1" showErrorMessage="1" sqref="D1:G1">
      <formula1>"Simple,Average,Complex"</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48564"/>
  <sheetViews>
    <sheetView topLeftCell="N1" workbookViewId="0">
      <selection activeCell="S3" sqref="S3"/>
    </sheetView>
  </sheetViews>
  <sheetFormatPr defaultRowHeight="15" x14ac:dyDescent="0.25"/>
  <cols>
    <col min="1" max="1" width="9.85546875" customWidth="1"/>
    <col min="2" max="3" width="17" customWidth="1"/>
    <col min="4" max="8" width="19.42578125" customWidth="1"/>
    <col min="9" max="12" width="30.85546875" customWidth="1"/>
    <col min="13" max="14" width="28" customWidth="1"/>
    <col min="15" max="15" width="30.85546875" customWidth="1"/>
    <col min="16" max="16" width="23.5703125" customWidth="1"/>
    <col min="17" max="18" width="27.28515625" customWidth="1"/>
    <col min="19" max="19" width="27.140625" customWidth="1"/>
    <col min="20" max="21" width="26.140625" customWidth="1"/>
    <col min="22" max="22" width="33.5703125" style="56" customWidth="1"/>
  </cols>
  <sheetData>
    <row r="1" spans="1:22" ht="36.75" customHeight="1" x14ac:dyDescent="0.3">
      <c r="A1" s="87" t="s">
        <v>84</v>
      </c>
      <c r="B1" s="87"/>
      <c r="C1" s="87"/>
      <c r="D1" s="87"/>
      <c r="E1" s="87"/>
      <c r="F1" s="87"/>
      <c r="G1" s="87"/>
      <c r="H1" s="87"/>
      <c r="I1" s="87"/>
      <c r="J1" s="87"/>
      <c r="K1" s="87"/>
      <c r="L1" s="87"/>
      <c r="M1" s="87"/>
      <c r="N1" s="87"/>
      <c r="O1" s="87"/>
      <c r="P1" s="87"/>
      <c r="Q1" s="87"/>
      <c r="R1" s="87"/>
      <c r="S1" s="87"/>
      <c r="T1" s="87"/>
      <c r="U1" s="87"/>
      <c r="V1" s="87"/>
    </row>
    <row r="2" spans="1:22" ht="16.5" customHeight="1" x14ac:dyDescent="0.25">
      <c r="A2" s="88" t="s">
        <v>66</v>
      </c>
      <c r="B2" s="88" t="s">
        <v>30</v>
      </c>
      <c r="C2" s="88"/>
      <c r="D2" s="88"/>
      <c r="E2" s="88"/>
      <c r="F2" s="88"/>
      <c r="G2" s="88" t="s">
        <v>63</v>
      </c>
      <c r="H2" s="88"/>
      <c r="I2" s="88" t="s">
        <v>31</v>
      </c>
      <c r="J2" s="88"/>
      <c r="K2" s="88"/>
      <c r="L2" s="88"/>
      <c r="M2" s="88" t="s">
        <v>32</v>
      </c>
      <c r="N2" s="88"/>
      <c r="O2" s="88"/>
      <c r="P2" s="89" t="s">
        <v>59</v>
      </c>
      <c r="Q2" s="89"/>
      <c r="R2" s="89"/>
      <c r="S2" s="88" t="s">
        <v>58</v>
      </c>
      <c r="T2" s="88"/>
      <c r="U2" s="88"/>
      <c r="V2" s="88"/>
    </row>
    <row r="3" spans="1:22" s="53" customFormat="1" ht="63.75" x14ac:dyDescent="0.2">
      <c r="A3" s="88"/>
      <c r="B3" s="70" t="s">
        <v>11</v>
      </c>
      <c r="C3" s="70" t="s">
        <v>14</v>
      </c>
      <c r="D3" s="70" t="s">
        <v>15</v>
      </c>
      <c r="E3" s="70" t="s">
        <v>29</v>
      </c>
      <c r="F3" s="70" t="s">
        <v>12</v>
      </c>
      <c r="G3" s="71" t="s">
        <v>64</v>
      </c>
      <c r="H3" s="71" t="s">
        <v>65</v>
      </c>
      <c r="I3" s="70" t="s">
        <v>67</v>
      </c>
      <c r="J3" s="70" t="s">
        <v>68</v>
      </c>
      <c r="K3" s="72" t="s">
        <v>85</v>
      </c>
      <c r="L3" s="72" t="s">
        <v>53</v>
      </c>
      <c r="M3" s="70" t="s">
        <v>86</v>
      </c>
      <c r="N3" s="70" t="s">
        <v>57</v>
      </c>
      <c r="O3" s="71" t="s">
        <v>62</v>
      </c>
      <c r="P3" s="70" t="s">
        <v>33</v>
      </c>
      <c r="Q3" s="70" t="s">
        <v>34</v>
      </c>
      <c r="R3" s="72" t="s">
        <v>54</v>
      </c>
      <c r="S3" s="70" t="s">
        <v>87</v>
      </c>
      <c r="T3" s="70" t="s">
        <v>88</v>
      </c>
      <c r="U3" s="72" t="s">
        <v>54</v>
      </c>
      <c r="V3" s="70" t="s">
        <v>16</v>
      </c>
    </row>
    <row r="4" spans="1:22" ht="30" x14ac:dyDescent="0.25">
      <c r="A4" s="68"/>
      <c r="B4" s="68"/>
      <c r="C4" s="68"/>
      <c r="D4" s="68"/>
      <c r="E4" s="68"/>
      <c r="F4" s="68"/>
      <c r="G4" s="68">
        <f>SUM(L4,O4,R4,U4)</f>
        <v>83.333333333333329</v>
      </c>
      <c r="H4" s="68" t="str">
        <f>IF(G4&gt;=70, "Completed", "Not Completed")</f>
        <v>Completed</v>
      </c>
      <c r="I4" s="68" t="s">
        <v>50</v>
      </c>
      <c r="J4" s="68" t="s">
        <v>52</v>
      </c>
      <c r="K4" s="68"/>
      <c r="L4" s="68">
        <f>SUM(VLOOKUP($I$4,MasterData!$H$6:$I$9,2,FALSE),VLOOKUP('Technical Evaluation'!$J$4,MasterData!$H$12:$I$15,2,FALSE),'Technical Evaluation'!$K4)/3*50</f>
        <v>33.333333333333329</v>
      </c>
      <c r="M4" s="68" t="s">
        <v>52</v>
      </c>
      <c r="N4" s="68" t="s">
        <v>56</v>
      </c>
      <c r="O4" s="69">
        <f>SUM(VLOOKUP($M4, MasterData!$H$12:$I$15,2,FALSE),VLOOKUP('Technical Evaluation'!$N4,MasterData!$H$18:$I$20,2,FALSE))/2*10</f>
        <v>10</v>
      </c>
      <c r="P4" s="69" t="s">
        <v>61</v>
      </c>
      <c r="Q4" s="69" t="s">
        <v>61</v>
      </c>
      <c r="R4" s="69">
        <f>SUM(VLOOKUP(P4,MasterData!$H$23:$I$25,2,FALSE),VLOOKUP('Technical Evaluation'!Q4,MasterData!$H$23:$I$25,2,FALSE))/2*20</f>
        <v>20</v>
      </c>
      <c r="S4" s="69">
        <v>5</v>
      </c>
      <c r="T4" s="69">
        <v>5</v>
      </c>
      <c r="U4" s="69">
        <f>SUM(S4:T4)/10*20</f>
        <v>20</v>
      </c>
      <c r="V4" s="69"/>
    </row>
    <row r="5" spans="1:22" x14ac:dyDescent="0.25">
      <c r="A5" s="68"/>
      <c r="B5" s="68"/>
      <c r="C5" s="68"/>
      <c r="D5" s="68"/>
      <c r="E5" s="68"/>
      <c r="F5" s="68"/>
      <c r="G5" s="68">
        <f>SUM(L5,O5,R5,U5)</f>
        <v>0</v>
      </c>
      <c r="H5" s="68" t="str">
        <f>IF(G5&gt;=70, "Completed", "Not Completed")</f>
        <v>Not Completed</v>
      </c>
      <c r="I5" s="68"/>
      <c r="J5" s="68"/>
      <c r="K5" s="68"/>
      <c r="L5" s="68"/>
      <c r="M5" s="68"/>
      <c r="N5" s="68"/>
      <c r="O5" s="69"/>
      <c r="P5" s="69"/>
      <c r="Q5" s="69"/>
      <c r="R5" s="69"/>
      <c r="S5" s="69"/>
      <c r="T5" s="69"/>
      <c r="U5" s="69"/>
      <c r="V5" s="69"/>
    </row>
    <row r="6" spans="1:22" x14ac:dyDescent="0.25">
      <c r="A6" s="68"/>
      <c r="B6" s="68"/>
      <c r="C6" s="68"/>
      <c r="D6" s="68"/>
      <c r="E6" s="68"/>
      <c r="F6" s="68"/>
      <c r="G6" s="68"/>
      <c r="H6" s="68"/>
      <c r="I6" s="68"/>
      <c r="J6" s="68"/>
      <c r="K6" s="68"/>
      <c r="L6" s="68"/>
      <c r="M6" s="68"/>
      <c r="N6" s="68"/>
      <c r="O6" s="69"/>
      <c r="P6" s="69"/>
      <c r="Q6" s="69"/>
      <c r="R6" s="69"/>
      <c r="S6" s="69"/>
      <c r="T6" s="69"/>
      <c r="U6" s="69"/>
      <c r="V6" s="69"/>
    </row>
    <row r="7" spans="1:22" x14ac:dyDescent="0.25">
      <c r="A7" s="68"/>
      <c r="B7" s="68"/>
      <c r="C7" s="68"/>
      <c r="D7" s="68"/>
      <c r="E7" s="68"/>
      <c r="F7" s="68"/>
      <c r="G7" s="68"/>
      <c r="H7" s="68"/>
      <c r="I7" s="68"/>
      <c r="J7" s="68"/>
      <c r="K7" s="68"/>
      <c r="L7" s="68"/>
      <c r="M7" s="68"/>
      <c r="N7" s="68"/>
      <c r="O7" s="69"/>
      <c r="P7" s="69"/>
      <c r="Q7" s="69"/>
      <c r="R7" s="69"/>
      <c r="S7" s="69"/>
      <c r="T7" s="69"/>
      <c r="U7" s="69"/>
      <c r="V7" s="69"/>
    </row>
    <row r="8" spans="1:22" x14ac:dyDescent="0.25">
      <c r="A8" s="68"/>
      <c r="B8" s="68"/>
      <c r="C8" s="68"/>
      <c r="D8" s="68"/>
      <c r="E8" s="68"/>
      <c r="F8" s="68"/>
      <c r="G8" s="68"/>
      <c r="H8" s="68"/>
      <c r="I8" s="68"/>
      <c r="J8" s="68"/>
      <c r="K8" s="68"/>
      <c r="L8" s="68"/>
      <c r="M8" s="68"/>
      <c r="N8" s="68"/>
      <c r="O8" s="69"/>
      <c r="P8" s="69"/>
      <c r="Q8" s="69"/>
      <c r="R8" s="69"/>
      <c r="S8" s="69"/>
      <c r="T8" s="69"/>
      <c r="U8" s="69"/>
      <c r="V8" s="69"/>
    </row>
    <row r="9" spans="1:22" x14ac:dyDescent="0.25">
      <c r="A9" s="68"/>
      <c r="B9" s="68"/>
      <c r="C9" s="68"/>
      <c r="D9" s="68"/>
      <c r="E9" s="68"/>
      <c r="F9" s="68"/>
      <c r="G9" s="68"/>
      <c r="H9" s="68"/>
      <c r="I9" s="68"/>
      <c r="J9" s="68"/>
      <c r="K9" s="68"/>
      <c r="L9" s="68"/>
      <c r="M9" s="68"/>
      <c r="N9" s="68"/>
      <c r="O9" s="69"/>
      <c r="P9" s="69"/>
      <c r="Q9" s="69"/>
      <c r="R9" s="69"/>
      <c r="S9" s="69"/>
      <c r="T9" s="69"/>
      <c r="U9" s="69"/>
      <c r="V9" s="69"/>
    </row>
    <row r="10" spans="1:22" x14ac:dyDescent="0.25">
      <c r="A10" s="46"/>
      <c r="B10" s="46"/>
      <c r="C10" s="46"/>
      <c r="D10" s="46"/>
      <c r="E10" s="46"/>
      <c r="F10" s="46"/>
      <c r="G10" s="46"/>
      <c r="H10" s="46"/>
      <c r="I10" s="46"/>
      <c r="J10" s="46"/>
      <c r="K10" s="68"/>
      <c r="L10" s="46"/>
      <c r="M10" s="46"/>
      <c r="N10" s="46"/>
      <c r="O10" s="54"/>
      <c r="P10" s="54"/>
      <c r="Q10" s="54"/>
      <c r="R10" s="54"/>
      <c r="S10" s="54"/>
      <c r="T10" s="54"/>
      <c r="U10" s="54"/>
      <c r="V10" s="54"/>
    </row>
    <row r="11" spans="1:22" x14ac:dyDescent="0.25">
      <c r="A11" s="46"/>
      <c r="B11" s="46"/>
      <c r="C11" s="46"/>
      <c r="D11" s="46"/>
      <c r="E11" s="46"/>
      <c r="F11" s="46"/>
      <c r="G11" s="46"/>
      <c r="H11" s="46"/>
      <c r="I11" s="46"/>
      <c r="J11" s="46"/>
      <c r="K11" s="68"/>
      <c r="L11" s="46"/>
      <c r="M11" s="46"/>
      <c r="N11" s="46"/>
      <c r="O11" s="54"/>
      <c r="P11" s="54"/>
      <c r="Q11" s="54"/>
      <c r="R11" s="54"/>
      <c r="S11" s="54"/>
      <c r="T11" s="54"/>
      <c r="U11" s="54"/>
      <c r="V11" s="54"/>
    </row>
    <row r="12" spans="1:22" x14ac:dyDescent="0.25">
      <c r="A12" s="46"/>
      <c r="B12" s="46"/>
      <c r="C12" s="46"/>
      <c r="D12" s="46"/>
      <c r="E12" s="46"/>
      <c r="F12" s="46"/>
      <c r="G12" s="46"/>
      <c r="H12" s="46"/>
      <c r="I12" s="46"/>
      <c r="J12" s="46"/>
      <c r="K12" s="68"/>
      <c r="L12" s="46"/>
      <c r="M12" s="46"/>
      <c r="N12" s="46"/>
      <c r="O12" s="54"/>
      <c r="P12" s="54"/>
      <c r="Q12" s="54"/>
      <c r="R12" s="54"/>
      <c r="S12" s="54"/>
      <c r="T12" s="54"/>
      <c r="U12" s="54"/>
      <c r="V12" s="54"/>
    </row>
    <row r="13" spans="1:22" x14ac:dyDescent="0.25">
      <c r="A13" s="46"/>
      <c r="B13" s="46"/>
      <c r="C13" s="46"/>
      <c r="D13" s="46"/>
      <c r="E13" s="46"/>
      <c r="F13" s="46"/>
      <c r="G13" s="46"/>
      <c r="H13" s="46"/>
      <c r="I13" s="46"/>
      <c r="J13" s="46"/>
      <c r="K13" s="68"/>
      <c r="L13" s="46"/>
      <c r="M13" s="46"/>
      <c r="N13" s="46"/>
      <c r="O13" s="54"/>
      <c r="P13" s="54"/>
      <c r="Q13" s="54"/>
      <c r="R13" s="54"/>
      <c r="S13" s="54"/>
      <c r="T13" s="54"/>
      <c r="U13" s="54"/>
      <c r="V13" s="54"/>
    </row>
    <row r="14" spans="1:22" x14ac:dyDescent="0.25">
      <c r="A14" s="46"/>
      <c r="B14" s="46"/>
      <c r="C14" s="46"/>
      <c r="D14" s="46"/>
      <c r="E14" s="46"/>
      <c r="F14" s="46"/>
      <c r="G14" s="46"/>
      <c r="H14" s="46"/>
      <c r="I14" s="46"/>
      <c r="J14" s="46"/>
      <c r="K14" s="68"/>
      <c r="L14" s="46"/>
      <c r="M14" s="46"/>
      <c r="N14" s="46"/>
      <c r="O14" s="54"/>
      <c r="P14" s="54"/>
      <c r="Q14" s="54"/>
      <c r="R14" s="54"/>
      <c r="S14" s="54"/>
      <c r="T14" s="54"/>
      <c r="U14" s="54"/>
      <c r="V14" s="54"/>
    </row>
    <row r="15" spans="1:22" x14ac:dyDescent="0.25">
      <c r="A15" s="46"/>
      <c r="B15" s="46"/>
      <c r="C15" s="46"/>
      <c r="D15" s="46"/>
      <c r="E15" s="46"/>
      <c r="F15" s="46"/>
      <c r="G15" s="46"/>
      <c r="H15" s="46"/>
      <c r="I15" s="46"/>
      <c r="J15" s="46"/>
      <c r="K15" s="68"/>
      <c r="L15" s="46"/>
      <c r="M15" s="46"/>
      <c r="N15" s="46"/>
      <c r="O15" s="54"/>
      <c r="P15" s="54"/>
      <c r="Q15" s="54"/>
      <c r="R15" s="54"/>
      <c r="S15" s="54"/>
      <c r="T15" s="54"/>
      <c r="U15" s="54"/>
      <c r="V15" s="54"/>
    </row>
    <row r="16" spans="1:22" x14ac:dyDescent="0.25">
      <c r="A16" s="46"/>
      <c r="B16" s="46"/>
      <c r="C16" s="46"/>
      <c r="D16" s="46"/>
      <c r="E16" s="46"/>
      <c r="F16" s="46"/>
      <c r="G16" s="46"/>
      <c r="H16" s="46"/>
      <c r="I16" s="46"/>
      <c r="J16" s="46"/>
      <c r="K16" s="68"/>
      <c r="L16" s="46"/>
      <c r="M16" s="46"/>
      <c r="N16" s="46"/>
      <c r="O16" s="54"/>
      <c r="P16" s="54"/>
      <c r="Q16" s="54"/>
      <c r="R16" s="54"/>
      <c r="S16" s="54"/>
      <c r="T16" s="54"/>
      <c r="U16" s="54"/>
      <c r="V16" s="54"/>
    </row>
    <row r="17" spans="1:22" x14ac:dyDescent="0.25">
      <c r="A17" s="46"/>
      <c r="B17" s="46"/>
      <c r="C17" s="46"/>
      <c r="D17" s="46"/>
      <c r="E17" s="46"/>
      <c r="F17" s="46"/>
      <c r="G17" s="46"/>
      <c r="H17" s="46"/>
      <c r="I17" s="46"/>
      <c r="J17" s="46"/>
      <c r="K17" s="68"/>
      <c r="L17" s="46"/>
      <c r="M17" s="46"/>
      <c r="N17" s="46"/>
      <c r="O17" s="54"/>
      <c r="P17" s="54"/>
      <c r="Q17" s="54"/>
      <c r="R17" s="54"/>
      <c r="S17" s="54"/>
      <c r="T17" s="54"/>
      <c r="U17" s="54"/>
      <c r="V17" s="54"/>
    </row>
    <row r="18" spans="1:22" x14ac:dyDescent="0.25">
      <c r="A18" s="46"/>
      <c r="B18" s="46"/>
      <c r="C18" s="46"/>
      <c r="D18" s="46"/>
      <c r="E18" s="46"/>
      <c r="F18" s="46"/>
      <c r="G18" s="46"/>
      <c r="H18" s="46"/>
      <c r="I18" s="46"/>
      <c r="J18" s="46"/>
      <c r="K18" s="68"/>
      <c r="L18" s="46"/>
      <c r="M18" s="46"/>
      <c r="N18" s="46"/>
      <c r="O18" s="54"/>
      <c r="P18" s="54"/>
      <c r="Q18" s="54"/>
      <c r="R18" s="54"/>
      <c r="S18" s="54"/>
      <c r="T18" s="54"/>
      <c r="U18" s="54"/>
      <c r="V18" s="54"/>
    </row>
    <row r="19" spans="1:22" x14ac:dyDescent="0.25">
      <c r="A19" s="46"/>
      <c r="B19" s="46"/>
      <c r="C19" s="46"/>
      <c r="D19" s="46"/>
      <c r="E19" s="46"/>
      <c r="F19" s="46"/>
      <c r="G19" s="46"/>
      <c r="H19" s="46"/>
      <c r="I19" s="46"/>
      <c r="J19" s="46"/>
      <c r="K19" s="68"/>
      <c r="L19" s="46"/>
      <c r="M19" s="46"/>
      <c r="N19" s="46"/>
      <c r="O19" s="54"/>
      <c r="P19" s="54"/>
      <c r="Q19" s="54"/>
      <c r="R19" s="54"/>
      <c r="S19" s="54"/>
      <c r="T19" s="54"/>
      <c r="U19" s="54"/>
      <c r="V19" s="54"/>
    </row>
    <row r="20" spans="1:22" x14ac:dyDescent="0.25">
      <c r="A20" s="46"/>
      <c r="B20" s="46"/>
      <c r="C20" s="46"/>
      <c r="D20" s="46"/>
      <c r="E20" s="46"/>
      <c r="F20" s="46"/>
      <c r="G20" s="46"/>
      <c r="H20" s="46"/>
      <c r="I20" s="46"/>
      <c r="J20" s="46"/>
      <c r="K20" s="68"/>
      <c r="L20" s="46"/>
      <c r="M20" s="46"/>
      <c r="N20" s="46"/>
      <c r="O20" s="54"/>
      <c r="P20" s="54"/>
      <c r="Q20" s="54"/>
      <c r="R20" s="54"/>
      <c r="S20" s="54"/>
      <c r="T20" s="54"/>
      <c r="U20" s="54"/>
      <c r="V20" s="54"/>
    </row>
    <row r="21" spans="1:22" x14ac:dyDescent="0.25">
      <c r="A21" s="46"/>
      <c r="B21" s="46"/>
      <c r="C21" s="46"/>
      <c r="D21" s="46"/>
      <c r="E21" s="46"/>
      <c r="F21" s="46"/>
      <c r="G21" s="46"/>
      <c r="H21" s="46"/>
      <c r="I21" s="46"/>
      <c r="J21" s="46"/>
      <c r="K21" s="68"/>
      <c r="L21" s="46"/>
      <c r="M21" s="46"/>
      <c r="N21" s="46"/>
      <c r="O21" s="54"/>
      <c r="P21" s="54"/>
      <c r="Q21" s="54"/>
      <c r="R21" s="54"/>
      <c r="S21" s="54"/>
      <c r="T21" s="54"/>
      <c r="U21" s="54"/>
      <c r="V21" s="54"/>
    </row>
    <row r="22" spans="1:22" x14ac:dyDescent="0.25">
      <c r="A22" s="46"/>
      <c r="B22" s="46"/>
      <c r="C22" s="46"/>
      <c r="D22" s="46"/>
      <c r="E22" s="46"/>
      <c r="F22" s="46"/>
      <c r="G22" s="46"/>
      <c r="H22" s="46"/>
      <c r="I22" s="46"/>
      <c r="J22" s="46"/>
      <c r="K22" s="46"/>
      <c r="L22" s="46"/>
      <c r="M22" s="46"/>
      <c r="N22" s="46"/>
      <c r="O22" s="54"/>
      <c r="P22" s="54"/>
      <c r="Q22" s="54"/>
      <c r="R22" s="54"/>
      <c r="S22" s="54"/>
      <c r="T22" s="54"/>
      <c r="U22" s="54"/>
      <c r="V22" s="54"/>
    </row>
    <row r="23" spans="1:22" x14ac:dyDescent="0.25">
      <c r="A23" s="46"/>
      <c r="B23" s="46"/>
      <c r="C23" s="46"/>
      <c r="D23" s="46"/>
      <c r="E23" s="46"/>
      <c r="F23" s="46"/>
      <c r="G23" s="46"/>
      <c r="H23" s="46"/>
      <c r="I23" s="46"/>
      <c r="J23" s="46"/>
      <c r="K23" s="46"/>
      <c r="L23" s="46"/>
      <c r="M23" s="46"/>
      <c r="N23" s="46"/>
      <c r="O23" s="54"/>
      <c r="P23" s="54"/>
      <c r="Q23" s="54"/>
      <c r="R23" s="54"/>
      <c r="S23" s="54"/>
      <c r="T23" s="54"/>
      <c r="U23" s="54"/>
      <c r="V23" s="54"/>
    </row>
    <row r="1048560" spans="1:24" ht="15.75" x14ac:dyDescent="0.25">
      <c r="A1048560" s="55"/>
      <c r="B1048560" s="55" t="s">
        <v>17</v>
      </c>
      <c r="C1048560" s="55"/>
      <c r="I1048560" s="55" t="s">
        <v>18</v>
      </c>
      <c r="J1048560" s="55"/>
      <c r="K1048560" s="55"/>
      <c r="L1048560" s="55"/>
      <c r="M1048560" s="55"/>
      <c r="N1048560" s="55"/>
      <c r="O1048560" s="55"/>
      <c r="S1048560" s="55"/>
      <c r="X1048560" s="57" t="s">
        <v>19</v>
      </c>
    </row>
    <row r="1048561" spans="1:24" ht="15.75" x14ac:dyDescent="0.25">
      <c r="A1048561" s="55"/>
      <c r="B1048561" s="55" t="s">
        <v>20</v>
      </c>
      <c r="C1048561" s="55"/>
      <c r="I1048561" s="55" t="s">
        <v>21</v>
      </c>
      <c r="J1048561" s="55"/>
      <c r="K1048561" s="55"/>
      <c r="L1048561" s="55"/>
      <c r="M1048561" s="55"/>
      <c r="N1048561" s="55"/>
      <c r="O1048561" s="55"/>
      <c r="S1048561" s="55"/>
      <c r="X1048561" s="55" t="s">
        <v>22</v>
      </c>
    </row>
    <row r="1048562" spans="1:24" ht="15.75" x14ac:dyDescent="0.25">
      <c r="A1048562" s="55"/>
      <c r="B1048562" s="55" t="s">
        <v>23</v>
      </c>
      <c r="C1048562" s="55"/>
      <c r="I1048562" s="55" t="s">
        <v>23</v>
      </c>
      <c r="J1048562" s="55"/>
      <c r="K1048562" s="55"/>
      <c r="L1048562" s="55"/>
      <c r="M1048562" s="55"/>
      <c r="N1048562" s="55"/>
      <c r="O1048562" s="55"/>
      <c r="S1048562" s="55"/>
      <c r="X1048562" s="55" t="s">
        <v>24</v>
      </c>
    </row>
    <row r="1048563" spans="1:24" ht="15.75" x14ac:dyDescent="0.25">
      <c r="A1048563" s="55"/>
      <c r="B1048563" s="55" t="s">
        <v>25</v>
      </c>
      <c r="C1048563" s="55"/>
      <c r="I1048563" s="55" t="s">
        <v>26</v>
      </c>
      <c r="J1048563" s="55"/>
      <c r="K1048563" s="55"/>
      <c r="L1048563" s="55"/>
      <c r="M1048563" s="55"/>
      <c r="N1048563" s="55"/>
      <c r="O1048563" s="55"/>
      <c r="S1048563" s="55"/>
      <c r="X1048563" s="57" t="s">
        <v>27</v>
      </c>
    </row>
    <row r="1048564" spans="1:24" ht="15.75" x14ac:dyDescent="0.25">
      <c r="A1048564" s="55"/>
      <c r="B1048564" s="55" t="s">
        <v>28</v>
      </c>
      <c r="C1048564" s="55"/>
      <c r="I1048564" s="55" t="s">
        <v>28</v>
      </c>
      <c r="J1048564" s="55"/>
      <c r="K1048564" s="55"/>
      <c r="L1048564" s="55"/>
      <c r="M1048564" s="55"/>
      <c r="N1048564" s="55"/>
      <c r="O1048564" s="55"/>
      <c r="S1048564" s="55"/>
      <c r="X1048564" s="55" t="s">
        <v>28</v>
      </c>
    </row>
  </sheetData>
  <mergeCells count="8">
    <mergeCell ref="A1:V1"/>
    <mergeCell ref="I2:L2"/>
    <mergeCell ref="B2:F2"/>
    <mergeCell ref="M2:O2"/>
    <mergeCell ref="S2:V2"/>
    <mergeCell ref="P2:R2"/>
    <mergeCell ref="G2:H2"/>
    <mergeCell ref="A2:A3"/>
  </mergeCells>
  <dataValidations count="6">
    <dataValidation type="list" allowBlank="1" showInputMessage="1" showErrorMessage="1" sqref="P24 Q24:R25">
      <formula1>#REF!</formula1>
    </dataValidation>
    <dataValidation type="list" allowBlank="1" showInputMessage="1" showErrorMessage="1" sqref="S4:T9">
      <formula1>"0,1,2,3,4,5"</formula1>
    </dataValidation>
    <dataValidation type="list" allowBlank="1" showInputMessage="1" showErrorMessage="1" sqref="T24:U25">
      <formula1>$B$1048559:$B$1048576</formula1>
    </dataValidation>
    <dataValidation type="list" allowBlank="1" showInputMessage="1" showErrorMessage="1" sqref="I24:O25">
      <formula1>$X$1048559:$X$1048576</formula1>
    </dataValidation>
    <dataValidation type="list" allowBlank="1" showInputMessage="1" showErrorMessage="1" sqref="S24:S25">
      <formula1>$I$1048559:$I$1048576</formula1>
    </dataValidation>
    <dataValidation type="list" allowBlank="1" showInputMessage="1" showErrorMessage="1" sqref="K4:K21">
      <formula1>"0,1"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MasterData!$H$6:$H$9</xm:f>
          </x14:formula1>
          <xm:sqref>I4:I9</xm:sqref>
        </x14:dataValidation>
        <x14:dataValidation type="list" allowBlank="1" showInputMessage="1" showErrorMessage="1">
          <x14:formula1>
            <xm:f>MasterData!$H$12:$H$15</xm:f>
          </x14:formula1>
          <xm:sqref>J4:J9 M4:M9</xm:sqref>
        </x14:dataValidation>
        <x14:dataValidation type="list" allowBlank="1" showInputMessage="1" showErrorMessage="1">
          <x14:formula1>
            <xm:f>MasterData!$H$18:$H$20</xm:f>
          </x14:formula1>
          <xm:sqref>N4:N9</xm:sqref>
        </x14:dataValidation>
        <x14:dataValidation type="list" allowBlank="1" showInputMessage="1" showErrorMessage="1">
          <x14:formula1>
            <xm:f>MasterData!$H$23:$H$25</xm:f>
          </x14:formula1>
          <xm:sqref>P4:Q9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6:I25"/>
  <sheetViews>
    <sheetView topLeftCell="A16" workbookViewId="0">
      <selection activeCell="F29" sqref="F29"/>
    </sheetView>
  </sheetViews>
  <sheetFormatPr defaultRowHeight="15" x14ac:dyDescent="0.25"/>
  <cols>
    <col min="8" max="8" width="27.42578125" customWidth="1"/>
  </cols>
  <sheetData>
    <row r="6" spans="8:9" x14ac:dyDescent="0.25">
      <c r="H6" s="46" t="s">
        <v>40</v>
      </c>
      <c r="I6" s="46">
        <v>0</v>
      </c>
    </row>
    <row r="7" spans="8:9" x14ac:dyDescent="0.25">
      <c r="H7" s="46" t="s">
        <v>48</v>
      </c>
      <c r="I7" s="46">
        <v>0</v>
      </c>
    </row>
    <row r="8" spans="8:9" x14ac:dyDescent="0.25">
      <c r="H8" s="46" t="s">
        <v>49</v>
      </c>
      <c r="I8" s="46">
        <v>0.5</v>
      </c>
    </row>
    <row r="9" spans="8:9" x14ac:dyDescent="0.25">
      <c r="H9" s="46" t="s">
        <v>50</v>
      </c>
      <c r="I9" s="46">
        <v>1</v>
      </c>
    </row>
    <row r="12" spans="8:9" x14ac:dyDescent="0.25">
      <c r="H12" s="46" t="s">
        <v>40</v>
      </c>
      <c r="I12" s="46">
        <v>0</v>
      </c>
    </row>
    <row r="13" spans="8:9" x14ac:dyDescent="0.25">
      <c r="H13" s="46" t="s">
        <v>46</v>
      </c>
      <c r="I13" s="46">
        <v>0</v>
      </c>
    </row>
    <row r="14" spans="8:9" x14ac:dyDescent="0.25">
      <c r="H14" s="46" t="s">
        <v>51</v>
      </c>
      <c r="I14" s="46">
        <v>0.5</v>
      </c>
    </row>
    <row r="15" spans="8:9" x14ac:dyDescent="0.25">
      <c r="H15" s="46" t="s">
        <v>52</v>
      </c>
      <c r="I15" s="46">
        <v>1</v>
      </c>
    </row>
    <row r="18" spans="8:9" x14ac:dyDescent="0.25">
      <c r="H18" s="46" t="s">
        <v>40</v>
      </c>
      <c r="I18" s="46">
        <v>0</v>
      </c>
    </row>
    <row r="19" spans="8:9" x14ac:dyDescent="0.25">
      <c r="H19" s="46" t="s">
        <v>55</v>
      </c>
      <c r="I19" s="46">
        <v>0</v>
      </c>
    </row>
    <row r="20" spans="8:9" x14ac:dyDescent="0.25">
      <c r="H20" s="46" t="s">
        <v>56</v>
      </c>
      <c r="I20" s="46">
        <v>1</v>
      </c>
    </row>
    <row r="23" spans="8:9" x14ac:dyDescent="0.25">
      <c r="H23" s="46" t="s">
        <v>40</v>
      </c>
      <c r="I23" s="46">
        <v>0</v>
      </c>
    </row>
    <row r="24" spans="8:9" x14ac:dyDescent="0.25">
      <c r="H24" s="46" t="s">
        <v>60</v>
      </c>
      <c r="I24" s="46">
        <v>0</v>
      </c>
    </row>
    <row r="25" spans="8:9" x14ac:dyDescent="0.25">
      <c r="H25" s="46" t="s">
        <v>61</v>
      </c>
      <c r="I25" s="46">
        <v>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2"/>
  <sheetViews>
    <sheetView tabSelected="1" workbookViewId="0">
      <selection activeCell="D6" sqref="D6"/>
    </sheetView>
  </sheetViews>
  <sheetFormatPr defaultRowHeight="15" x14ac:dyDescent="0.25"/>
  <cols>
    <col min="2" max="2" width="55.140625" customWidth="1"/>
    <col min="3" max="3" width="10.7109375" customWidth="1"/>
    <col min="4" max="4" width="5.7109375" customWidth="1"/>
    <col min="6" max="6" width="22.42578125" bestFit="1" customWidth="1"/>
  </cols>
  <sheetData>
    <row r="1" spans="1:2" x14ac:dyDescent="0.25">
      <c r="A1" s="91" t="s">
        <v>35</v>
      </c>
      <c r="B1" s="91"/>
    </row>
    <row r="2" spans="1:2" s="60" customFormat="1" x14ac:dyDescent="0.25">
      <c r="A2" s="58" t="s">
        <v>36</v>
      </c>
      <c r="B2" s="59" t="s">
        <v>37</v>
      </c>
    </row>
    <row r="3" spans="1:2" x14ac:dyDescent="0.25">
      <c r="A3" s="92" t="s">
        <v>38</v>
      </c>
      <c r="B3" s="92"/>
    </row>
    <row r="4" spans="1:2" x14ac:dyDescent="0.25">
      <c r="A4" s="61">
        <v>1</v>
      </c>
      <c r="B4" s="61" t="s">
        <v>39</v>
      </c>
    </row>
    <row r="5" spans="1:2" x14ac:dyDescent="0.25">
      <c r="A5" s="92" t="s">
        <v>41</v>
      </c>
      <c r="B5" s="92"/>
    </row>
    <row r="6" spans="1:2" ht="51" x14ac:dyDescent="0.25">
      <c r="A6" s="61">
        <v>2</v>
      </c>
      <c r="B6" s="61" t="s">
        <v>90</v>
      </c>
    </row>
    <row r="7" spans="1:2" x14ac:dyDescent="0.25">
      <c r="A7" s="92" t="s">
        <v>69</v>
      </c>
      <c r="B7" s="92"/>
    </row>
    <row r="8" spans="1:2" ht="25.5" x14ac:dyDescent="0.25">
      <c r="A8" s="61">
        <v>3</v>
      </c>
      <c r="B8" s="61" t="s">
        <v>91</v>
      </c>
    </row>
    <row r="9" spans="1:2" x14ac:dyDescent="0.25">
      <c r="A9" s="92" t="s">
        <v>42</v>
      </c>
      <c r="B9" s="92"/>
    </row>
    <row r="10" spans="1:2" ht="38.25" x14ac:dyDescent="0.25">
      <c r="A10" s="61">
        <v>4</v>
      </c>
      <c r="B10" s="61" t="s">
        <v>43</v>
      </c>
    </row>
    <row r="11" spans="1:2" x14ac:dyDescent="0.25">
      <c r="A11" s="92" t="s">
        <v>44</v>
      </c>
      <c r="B11" s="92"/>
    </row>
    <row r="12" spans="1:2" x14ac:dyDescent="0.25">
      <c r="A12" s="61">
        <v>6</v>
      </c>
      <c r="B12" s="61" t="s">
        <v>89</v>
      </c>
    </row>
    <row r="99" spans="11:11" x14ac:dyDescent="0.25">
      <c r="K99" t="s">
        <v>40</v>
      </c>
    </row>
    <row r="100" spans="11:11" x14ac:dyDescent="0.25">
      <c r="K100" t="s">
        <v>45</v>
      </c>
    </row>
    <row r="101" spans="11:11" x14ac:dyDescent="0.25">
      <c r="K101" t="s">
        <v>46</v>
      </c>
    </row>
    <row r="102" spans="11:11" x14ac:dyDescent="0.25">
      <c r="K102" t="s">
        <v>47</v>
      </c>
    </row>
  </sheetData>
  <mergeCells count="6">
    <mergeCell ref="A11:B11"/>
    <mergeCell ref="A1:B1"/>
    <mergeCell ref="A3:B3"/>
    <mergeCell ref="A5:B5"/>
    <mergeCell ref="A7:B7"/>
    <mergeCell ref="A9:B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5"/>
  <sheetViews>
    <sheetView workbookViewId="0">
      <selection activeCell="E5" sqref="E5"/>
    </sheetView>
  </sheetViews>
  <sheetFormatPr defaultRowHeight="15" x14ac:dyDescent="0.25"/>
  <cols>
    <col min="3" max="3" width="22.42578125" customWidth="1"/>
    <col min="4" max="4" width="20.42578125" customWidth="1"/>
    <col min="5" max="5" width="11.85546875" customWidth="1"/>
    <col min="6" max="6" width="16.7109375" bestFit="1" customWidth="1"/>
  </cols>
  <sheetData>
    <row r="2" spans="2:6" ht="15.75" x14ac:dyDescent="0.25">
      <c r="B2" s="90" t="s">
        <v>70</v>
      </c>
      <c r="C2" s="90"/>
      <c r="D2" s="90"/>
      <c r="E2" s="90"/>
      <c r="F2" s="90"/>
    </row>
    <row r="3" spans="2:6" ht="26.25" x14ac:dyDescent="0.25">
      <c r="B3" s="62" t="s">
        <v>71</v>
      </c>
      <c r="C3" s="62" t="s">
        <v>72</v>
      </c>
      <c r="D3" s="62" t="s">
        <v>73</v>
      </c>
      <c r="E3" s="62" t="s">
        <v>74</v>
      </c>
      <c r="F3" s="62" t="s">
        <v>75</v>
      </c>
    </row>
    <row r="4" spans="2:6" ht="24.75" x14ac:dyDescent="0.25">
      <c r="B4" s="63">
        <v>1</v>
      </c>
      <c r="C4" s="64" t="s">
        <v>76</v>
      </c>
      <c r="D4" s="65" t="s">
        <v>77</v>
      </c>
      <c r="E4" s="66">
        <v>43922</v>
      </c>
      <c r="F4" s="65" t="s">
        <v>78</v>
      </c>
    </row>
    <row r="5" spans="2:6" x14ac:dyDescent="0.25">
      <c r="B5" s="63">
        <v>1.1000000000000001</v>
      </c>
      <c r="C5" s="63" t="s">
        <v>76</v>
      </c>
      <c r="D5" s="63" t="s">
        <v>92</v>
      </c>
      <c r="E5" s="66">
        <v>43929</v>
      </c>
      <c r="F5" s="63" t="s">
        <v>93</v>
      </c>
    </row>
  </sheetData>
  <mergeCells count="1">
    <mergeCell ref="B2:F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9C735C9F3CD54A948D0AD38DF112BF" ma:contentTypeVersion="11" ma:contentTypeDescription="Create a new document." ma:contentTypeScope="" ma:versionID="21d22ff45c5bcee3e13d2da0d2eaf86f">
  <xsd:schema xmlns:xsd="http://www.w3.org/2001/XMLSchema" xmlns:xs="http://www.w3.org/2001/XMLSchema" xmlns:p="http://schemas.microsoft.com/office/2006/metadata/properties" xmlns:ns2="eac52b12-2228-488c-9d59-8a93d308b64e" xmlns:ns3="951c5514-b77c-4532-82d5-a05f2f7d58e2" targetNamespace="http://schemas.microsoft.com/office/2006/metadata/properties" ma:root="true" ma:fieldsID="8b7f95d062efb1de1c26afcaa392f390" ns2:_="" ns3:_="">
    <xsd:import namespace="eac52b12-2228-488c-9d59-8a93d308b64e"/>
    <xsd:import namespace="951c5514-b77c-4532-82d5-a05f2f7d58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c52b12-2228-488c-9d59-8a93d308b6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9C95612-784F-48F9-ACAE-1B6ABBA11393}"/>
</file>

<file path=customXml/itemProps2.xml><?xml version="1.0" encoding="utf-8"?>
<ds:datastoreItem xmlns:ds="http://schemas.openxmlformats.org/officeDocument/2006/customXml" ds:itemID="{9A5B542E-DE10-4E11-856A-459533085558}"/>
</file>

<file path=customXml/itemProps3.xml><?xml version="1.0" encoding="utf-8"?>
<ds:datastoreItem xmlns:ds="http://schemas.openxmlformats.org/officeDocument/2006/customXml" ds:itemID="{7E971DAC-2FBB-4F94-B5B4-352C0C69729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Page</vt:lpstr>
      <vt:lpstr>Instructions</vt:lpstr>
      <vt:lpstr>Technical Evaluation</vt:lpstr>
      <vt:lpstr>MasterData</vt:lpstr>
      <vt:lpstr>Best Practices</vt:lpstr>
      <vt:lpstr>Revision History</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2019-12-17T09:53:36Z</dcterms:created>
  <dcterms:modified xsi:type="dcterms:W3CDTF">2020-04-08T05:47:51Z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0x0101007A9C735C9F3CD54A948D0AD38DF112BF</vt:lpwstr>
  </property>
</Properties>
</file>