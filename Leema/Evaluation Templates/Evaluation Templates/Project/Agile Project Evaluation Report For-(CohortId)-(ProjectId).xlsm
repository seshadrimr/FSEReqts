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58153\Downloads\"/>
    </mc:Choice>
  </mc:AlternateContent>
  <bookViews>
    <workbookView xWindow="0" yWindow="0" windowWidth="15345" windowHeight="3945" tabRatio="824" activeTab="3"/>
  </bookViews>
  <sheets>
    <sheet name="Cover Page" sheetId="9" r:id="rId1"/>
    <sheet name="README-.NET" sheetId="46" state="hidden" r:id="rId2"/>
    <sheet name="README-JAVA" sheetId="47" state="hidden" r:id="rId3"/>
    <sheet name="README-FSD .NET" sheetId="49" r:id="rId4"/>
    <sheet name="README-FSD JAVA" sheetId="50" state="hidden" r:id="rId5"/>
    <sheet name="README-MAINFRAME" sheetId="51" state="hidden" r:id="rId6"/>
    <sheet name="README-OTHERS" sheetId="52" state="hidden" r:id="rId7"/>
    <sheet name="Scorecard-Summary" sheetId="8" r:id="rId8"/>
    <sheet name="Data" sheetId="41" state="hidden" r:id="rId9"/>
    <sheet name="Scorecard-Scrum-Evaluation" sheetId="43" r:id="rId10"/>
    <sheet name="Scorecard-Tech-Evaluation" sheetId="44" r:id="rId11"/>
  </sheets>
  <externalReferences>
    <externalReference r:id="rId12"/>
    <externalReference r:id="rId13"/>
    <externalReference r:id="rId14"/>
    <externalReference r:id="rId15"/>
  </externalReferences>
  <definedNames>
    <definedName name="ActualBurnDown" localSheetId="2">#REF!</definedName>
    <definedName name="ActualBurnDown">#REF!</definedName>
    <definedName name="ad" localSheetId="2">#REF!</definedName>
    <definedName name="ad">#REF!</definedName>
    <definedName name="BUActualBurnDown" localSheetId="2">#REF!</definedName>
    <definedName name="BUActualBurnDown">#REF!</definedName>
    <definedName name="BusinessValue" localSheetId="2">#REF!</definedName>
    <definedName name="BusinessValue">#REF!</definedName>
    <definedName name="Calc_sens2" localSheetId="2">[1]!Calc_sens2</definedName>
    <definedName name="Calc_sens2">[1]!Calc_sens2</definedName>
    <definedName name="Category" localSheetId="2">#REF!</definedName>
    <definedName name="Category">#REF!</definedName>
    <definedName name="cause" localSheetId="2">#REF!</definedName>
    <definedName name="cause">#REF!</definedName>
    <definedName name="Clear_sens2" localSheetId="2">[1]!Clear_sens2</definedName>
    <definedName name="Clear_sens2">[1]!Clear_sens2</definedName>
    <definedName name="Comments" localSheetId="2">#REF!</definedName>
    <definedName name="Comments">#REF!</definedName>
    <definedName name="Creator" localSheetId="2">#REF!</definedName>
    <definedName name="Creator">#REF!</definedName>
    <definedName name="CRPriority">[2]Data!$B$2:$B$4</definedName>
    <definedName name="CRStatus">[2]Data!$A$2:$A$8</definedName>
    <definedName name="d" localSheetId="2">#REF!</definedName>
    <definedName name="d">#REF!</definedName>
    <definedName name="GenCBurnDown" localSheetId="2">#REF!</definedName>
    <definedName name="GenCBurnDown">#REF!</definedName>
    <definedName name="ghfgh" localSheetId="2">#REF!</definedName>
    <definedName name="ghfgh">#REF!</definedName>
    <definedName name="Iteration" localSheetId="2">#REF!</definedName>
    <definedName name="Iteration">#REF!</definedName>
    <definedName name="Ltst_TestLog">"'Test log'"</definedName>
    <definedName name="Priority" localSheetId="2">#REF!</definedName>
    <definedName name="Priority">#REF!</definedName>
    <definedName name="Quality_Records" localSheetId="2">#REF!</definedName>
    <definedName name="Quality_Records">#REF!</definedName>
    <definedName name="Resolution" localSheetId="2">[3]QTDSCMP_Data!#REF!</definedName>
    <definedName name="Resolution">[3]QTDSCMP_Data!#REF!</definedName>
    <definedName name="Risk" localSheetId="2">#REF!</definedName>
    <definedName name="Risk">#REF!</definedName>
    <definedName name="SCIReference" localSheetId="2">[3]QTDSCMP_Data!#REF!</definedName>
    <definedName name="SCIReference">[3]QTDSCMP_Data!#REF!</definedName>
    <definedName name="SCIStatus" localSheetId="2">[3]QTDSCMP_Data!#REF!</definedName>
    <definedName name="SCIStatus">[3]QTDSCMP_Data!#REF!</definedName>
    <definedName name="SCITools" localSheetId="2">[3]QTDSCMP_Data!#REF!</definedName>
    <definedName name="SCITools">[3]QTDSCMP_Data!#REF!</definedName>
    <definedName name="SCM_Access" localSheetId="2">[4]User_Groups_Access!#REF!</definedName>
    <definedName name="SCM_Access">[4]User_Groups_Access!#REF!</definedName>
    <definedName name="ScrumMaster" localSheetId="2">#REF!</definedName>
    <definedName name="ScrumMaster">#REF!</definedName>
    <definedName name="sdsds" localSheetId="2">[1]!Calc_sens2</definedName>
    <definedName name="sdsds">[1]!Calc_sens2</definedName>
    <definedName name="Severity" localSheetId="2">#REF!</definedName>
    <definedName name="Severity">#REF!</definedName>
    <definedName name="Software_Configuration_Management_Team" localSheetId="2">'[4]SCM_Team&amp;ReleaseNumberingScheme'!#REF!</definedName>
    <definedName name="Software_Configuration_Management_Team">'[4]SCM_Team&amp;ReleaseNumberingScheme'!#REF!</definedName>
    <definedName name="State_of_Origin" localSheetId="2">#REF!</definedName>
    <definedName name="State_of_Origin">#REF!</definedName>
    <definedName name="Status" localSheetId="2">#REF!</definedName>
    <definedName name="Status">#REF!</definedName>
    <definedName name="Team" localSheetId="2">#REF!</definedName>
    <definedName name="Team">#REF!</definedName>
    <definedName name="Type" localSheetId="2">#REF!</definedName>
    <definedName name="Type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8" l="1"/>
  <c r="G9" i="8"/>
  <c r="F9" i="8"/>
  <c r="F8" i="8"/>
  <c r="Q8" i="44"/>
  <c r="O8" i="44"/>
  <c r="M8" i="44"/>
  <c r="K9" i="44"/>
  <c r="K8" i="44"/>
  <c r="I9" i="44"/>
  <c r="I8" i="44"/>
  <c r="I7" i="44"/>
  <c r="G9" i="44"/>
  <c r="D9" i="44" s="1"/>
  <c r="E9" i="44" s="1"/>
  <c r="G8" i="44"/>
  <c r="C8" i="44"/>
  <c r="C9" i="44"/>
  <c r="B8" i="44"/>
  <c r="B9" i="44"/>
  <c r="B6" i="44"/>
  <c r="B7" i="44"/>
  <c r="D8" i="44" l="1"/>
  <c r="E8" i="44" s="1"/>
  <c r="Q8" i="43" l="1"/>
  <c r="O8" i="43"/>
  <c r="M8" i="43"/>
  <c r="K8" i="43"/>
  <c r="I8" i="43"/>
  <c r="I6" i="43"/>
  <c r="I7" i="43"/>
  <c r="G8" i="43"/>
  <c r="G6" i="43"/>
  <c r="G7" i="43"/>
  <c r="G9" i="43"/>
  <c r="D9" i="43" s="1"/>
  <c r="E9" i="43" s="1"/>
  <c r="D6" i="43"/>
  <c r="E6" i="43" s="1"/>
  <c r="D7" i="43"/>
  <c r="F7" i="8" s="1"/>
  <c r="C6" i="43"/>
  <c r="C7" i="43"/>
  <c r="C8" i="43"/>
  <c r="C9" i="43"/>
  <c r="B7" i="43"/>
  <c r="B8" i="43"/>
  <c r="B9" i="43"/>
  <c r="H9" i="8" l="1"/>
  <c r="I9" i="8" s="1"/>
  <c r="D8" i="43"/>
  <c r="E8" i="43" s="1"/>
  <c r="E7" i="43"/>
  <c r="H8" i="8"/>
  <c r="I8" i="8" s="1"/>
  <c r="E4" i="44"/>
  <c r="Q9" i="44"/>
  <c r="O9" i="44"/>
  <c r="Q7" i="44"/>
  <c r="O7" i="44"/>
  <c r="Q6" i="44"/>
  <c r="O6" i="44"/>
  <c r="Q5" i="44"/>
  <c r="O5" i="44"/>
  <c r="M9" i="44"/>
  <c r="M7" i="44"/>
  <c r="K7" i="44"/>
  <c r="M6" i="44"/>
  <c r="K6" i="44"/>
  <c r="M5" i="44"/>
  <c r="K5" i="44"/>
  <c r="E4" i="43"/>
  <c r="Q9" i="43"/>
  <c r="O9" i="43"/>
  <c r="Q7" i="43"/>
  <c r="O7" i="43"/>
  <c r="Q6" i="43"/>
  <c r="O6" i="43"/>
  <c r="Q5" i="43"/>
  <c r="O5" i="43"/>
  <c r="M9" i="43"/>
  <c r="K9" i="43"/>
  <c r="M7" i="43"/>
  <c r="K7" i="43"/>
  <c r="M6" i="43"/>
  <c r="K6" i="43"/>
  <c r="M5" i="43"/>
  <c r="K5" i="43"/>
  <c r="C7" i="44" l="1"/>
  <c r="C6" i="44"/>
  <c r="C5" i="44"/>
  <c r="B5" i="44"/>
  <c r="C5" i="43"/>
  <c r="B6" i="43"/>
  <c r="B5" i="43"/>
  <c r="I9" i="43" l="1"/>
  <c r="I5" i="43"/>
  <c r="G5" i="43"/>
  <c r="I6" i="44"/>
  <c r="I5" i="44"/>
  <c r="G7" i="44"/>
  <c r="G6" i="44"/>
  <c r="G5" i="44"/>
  <c r="D5" i="44" l="1"/>
  <c r="D6" i="44"/>
  <c r="G6" i="8" s="1"/>
  <c r="D7" i="44"/>
  <c r="D5" i="43"/>
  <c r="E5" i="43" s="1"/>
  <c r="E7" i="44" l="1"/>
  <c r="G7" i="8"/>
  <c r="H7" i="8" s="1"/>
  <c r="I7" i="8" s="1"/>
  <c r="F5" i="8"/>
  <c r="F6" i="8"/>
  <c r="H6" i="8" s="1"/>
  <c r="I6" i="8" s="1"/>
  <c r="E6" i="44"/>
  <c r="E5" i="44"/>
  <c r="G5" i="8"/>
  <c r="H5" i="8" l="1"/>
  <c r="I5" i="8" s="1"/>
</calcChain>
</file>

<file path=xl/sharedStrings.xml><?xml version="1.0" encoding="utf-8"?>
<sst xmlns="http://schemas.openxmlformats.org/spreadsheetml/2006/main" count="395" uniqueCount="136">
  <si>
    <t>*****Please fill in the details</t>
  </si>
  <si>
    <r>
      <t>Coach ID</t>
    </r>
    <r>
      <rPr>
        <b/>
        <sz val="10"/>
        <color rgb="FFFF0000"/>
        <rFont val="Arial"/>
        <family val="2"/>
      </rPr>
      <t>*</t>
    </r>
  </si>
  <si>
    <r>
      <t>Coach Name</t>
    </r>
    <r>
      <rPr>
        <b/>
        <sz val="10"/>
        <color rgb="FFFF0000"/>
        <rFont val="Arial"/>
        <family val="2"/>
      </rPr>
      <t>*</t>
    </r>
  </si>
  <si>
    <t xml:space="preserve"> Project Evaluation Report</t>
  </si>
  <si>
    <r>
      <t>Trainer Name</t>
    </r>
    <r>
      <rPr>
        <b/>
        <sz val="10"/>
        <color rgb="FFFF0000"/>
        <rFont val="Arial"/>
        <family val="2"/>
      </rPr>
      <t>*</t>
    </r>
  </si>
  <si>
    <r>
      <t>Location</t>
    </r>
    <r>
      <rPr>
        <b/>
        <sz val="10"/>
        <color rgb="FFFF0000"/>
        <rFont val="Arial"/>
        <family val="2"/>
      </rPr>
      <t>*</t>
    </r>
  </si>
  <si>
    <t>CBE</t>
  </si>
  <si>
    <r>
      <t>Training Track</t>
    </r>
    <r>
      <rPr>
        <b/>
        <sz val="10"/>
        <color rgb="FFFF0000"/>
        <rFont val="Arial"/>
        <family val="2"/>
      </rPr>
      <t>*</t>
    </r>
  </si>
  <si>
    <t>FSD .NET</t>
  </si>
  <si>
    <t>(If Training Track is (Others), Please specify here.</t>
  </si>
  <si>
    <t>Prepared By / Last Updated By</t>
  </si>
  <si>
    <t>Reviewed By</t>
  </si>
  <si>
    <t>Approved By</t>
  </si>
  <si>
    <t>Name</t>
  </si>
  <si>
    <t>Mentor Name</t>
  </si>
  <si>
    <t>Project Goveranance Team</t>
  </si>
  <si>
    <t>Role</t>
  </si>
  <si>
    <t>Signature</t>
  </si>
  <si>
    <t>Date</t>
  </si>
  <si>
    <t>C3: Protected</t>
  </si>
  <si>
    <t>Agile SME</t>
  </si>
  <si>
    <t>Evaluation Type:</t>
  </si>
  <si>
    <t>Overall Project Performance</t>
  </si>
  <si>
    <t>Total Weightage:</t>
  </si>
  <si>
    <t>S.No</t>
  </si>
  <si>
    <t>Associate ID</t>
  </si>
  <si>
    <t>Associate Name</t>
  </si>
  <si>
    <t>Overall Proficiency</t>
  </si>
  <si>
    <t>Associate 1</t>
  </si>
  <si>
    <t>Associate Name 1</t>
  </si>
  <si>
    <t>Associate 2</t>
  </si>
  <si>
    <t>Associate Name 2</t>
  </si>
  <si>
    <t>Associate 3</t>
  </si>
  <si>
    <t>Associate Name 3</t>
  </si>
  <si>
    <t>Associate 4</t>
  </si>
  <si>
    <t>Associate Name 4</t>
  </si>
  <si>
    <t>Lookup</t>
  </si>
  <si>
    <t>value</t>
  </si>
  <si>
    <t>Location</t>
  </si>
  <si>
    <t>Track</t>
  </si>
  <si>
    <t>Never Demonstrates</t>
  </si>
  <si>
    <t>BGLR</t>
  </si>
  <si>
    <t>FSD JAVA</t>
  </si>
  <si>
    <t>Technical SME</t>
  </si>
  <si>
    <t>Rarely Demonstrates</t>
  </si>
  <si>
    <t>Gen C</t>
  </si>
  <si>
    <t>Frequently Demonstrates</t>
  </si>
  <si>
    <t>CHN</t>
  </si>
  <si>
    <t>JAVA</t>
  </si>
  <si>
    <t>Intern</t>
  </si>
  <si>
    <t>Always Demonstrates</t>
  </si>
  <si>
    <t>HYD</t>
  </si>
  <si>
    <t>.NET</t>
  </si>
  <si>
    <t>Trainer</t>
  </si>
  <si>
    <t>KOL</t>
  </si>
  <si>
    <t>MAINFRAME</t>
  </si>
  <si>
    <t>PUN</t>
  </si>
  <si>
    <t>OTHERS</t>
  </si>
  <si>
    <t>Overall Score</t>
  </si>
  <si>
    <t>Scrum Performance</t>
  </si>
  <si>
    <t xml:space="preserve">Sr. No. </t>
  </si>
  <si>
    <t>Proficiency</t>
  </si>
  <si>
    <t>Contribution in crafting the sprint goal</t>
  </si>
  <si>
    <t>Weightage Considered:</t>
  </si>
  <si>
    <t>Technical Performance</t>
  </si>
  <si>
    <t>Sprint 1</t>
  </si>
  <si>
    <t>Sprint 2</t>
  </si>
  <si>
    <t>Sprint 3</t>
  </si>
  <si>
    <t>Userstory Completion</t>
  </si>
  <si>
    <t>Standards &amp; Best Practices</t>
  </si>
  <si>
    <t>Contribution to Sprint Goal</t>
  </si>
  <si>
    <t>Sprint Participation</t>
  </si>
  <si>
    <t>Evaluation Area</t>
  </si>
  <si>
    <t>Criteria</t>
  </si>
  <si>
    <t>Detailed Description</t>
  </si>
  <si>
    <t>Acceptance criteria met</t>
  </si>
  <si>
    <t>Unit tests and UI automation tasks are written</t>
  </si>
  <si>
    <t>Integrated into a clean build</t>
  </si>
  <si>
    <t>Promoted to higher level environment</t>
  </si>
  <si>
    <t>Feature level functional tests passed</t>
  </si>
  <si>
    <t>Non-Functional requirements met</t>
  </si>
  <si>
    <t>Meets compliance requirements</t>
  </si>
  <si>
    <t>Functionality documented in necessary user user documentation</t>
  </si>
  <si>
    <t>Product Owner accepts the User Story</t>
  </si>
  <si>
    <t>Meet all of the defined criterias for Userstory completion</t>
  </si>
  <si>
    <t xml:space="preserve">Verify Business value is clearly articulated in the user stories </t>
  </si>
  <si>
    <t xml:space="preserve">Understanding on how to demonstrate the PBI during sprint review </t>
  </si>
  <si>
    <t xml:space="preserve">Communicate effectively with the team: Participation in Scrum meetings, Design reviews </t>
  </si>
  <si>
    <t xml:space="preserve">Commit and Deliver each sprint's stories </t>
  </si>
  <si>
    <t xml:space="preserve">Prioritize effectively </t>
  </si>
  <si>
    <t xml:space="preserve">Help the team to Deliver Stories on time </t>
  </si>
  <si>
    <t>Sheet</t>
  </si>
  <si>
    <t>Scrum</t>
  </si>
  <si>
    <t>Tech</t>
  </si>
  <si>
    <t>Scrum Score(25%)</t>
  </si>
  <si>
    <t>Technical Score(75%)</t>
  </si>
  <si>
    <t>Overall Score(100%)</t>
  </si>
  <si>
    <t>Contributes to Behavioral aspect-Communication</t>
  </si>
  <si>
    <t>Contributes to Behavioral aspect-Learning Agility</t>
  </si>
  <si>
    <r>
      <t xml:space="preserve">Project Name
</t>
    </r>
    <r>
      <rPr>
        <i/>
        <sz val="8"/>
        <color indexed="18"/>
        <rFont val="Arial"/>
        <family val="2"/>
      </rPr>
      <t>(Enter name of the project)</t>
    </r>
  </si>
  <si>
    <t>(Enter Coach ID)</t>
  </si>
  <si>
    <t>(Enter Coach Name)</t>
  </si>
  <si>
    <t>(Enter Trainer Name)</t>
  </si>
  <si>
    <r>
      <t>Trainer ID</t>
    </r>
    <r>
      <rPr>
        <b/>
        <sz val="10"/>
        <color rgb="FFFF0000"/>
        <rFont val="Arial"/>
        <family val="2"/>
      </rPr>
      <t>*</t>
    </r>
  </si>
  <si>
    <r>
      <t>Tech SME ID</t>
    </r>
    <r>
      <rPr>
        <b/>
        <sz val="10"/>
        <color rgb="FFFF0000"/>
        <rFont val="Arial"/>
        <family val="2"/>
      </rPr>
      <t>*</t>
    </r>
  </si>
  <si>
    <r>
      <t>Agile SME ID</t>
    </r>
    <r>
      <rPr>
        <b/>
        <sz val="10"/>
        <color rgb="FFFF0000"/>
        <rFont val="Arial"/>
        <family val="2"/>
      </rPr>
      <t>*</t>
    </r>
  </si>
  <si>
    <t>(Enter Trainer ID)</t>
  </si>
  <si>
    <t>(Enter Tech SME ID)</t>
  </si>
  <si>
    <t>(Enter Agile SME ID)</t>
  </si>
  <si>
    <t>Enter data in cells marked in this color</t>
  </si>
  <si>
    <t>Contributes to Behavioral aspect-Team Dynamics</t>
  </si>
  <si>
    <r>
      <t>Cohort ID</t>
    </r>
    <r>
      <rPr>
        <b/>
        <sz val="10"/>
        <color rgb="FFFF0000"/>
        <rFont val="Arial"/>
        <family val="2"/>
      </rPr>
      <t>*</t>
    </r>
  </si>
  <si>
    <t>(Enter Cohort ID)</t>
  </si>
  <si>
    <r>
      <t>Cohort Name</t>
    </r>
    <r>
      <rPr>
        <b/>
        <sz val="10"/>
        <color rgb="FFFF0000"/>
        <rFont val="Arial"/>
        <family val="2"/>
      </rPr>
      <t>*</t>
    </r>
  </si>
  <si>
    <t>(Enter Cohort Name)</t>
  </si>
  <si>
    <t>(Enter Project Start Date)</t>
  </si>
  <si>
    <t>(Enter Project End Date)</t>
  </si>
  <si>
    <t>Remarks</t>
  </si>
  <si>
    <t>Check for any potential design flaws. These types of errors typically do not affect the execution of your code but has value</t>
  </si>
  <si>
    <t>Naming Conventions</t>
  </si>
  <si>
    <t>Code Maintainance</t>
  </si>
  <si>
    <t xml:space="preserve">Code Reliability </t>
  </si>
  <si>
    <t>Code Usage</t>
  </si>
  <si>
    <t>Code Security</t>
  </si>
  <si>
    <t>Code Performance</t>
  </si>
  <si>
    <t>Check for incorrect casing, cross language keyword collisions, names of types, members, parameters, namespaces, etc.</t>
  </si>
  <si>
    <t>Check for any elements in assemblies that will degrade performance</t>
  </si>
  <si>
    <t>Check for vulnerable to malicious users or code</t>
  </si>
  <si>
    <t>Check for potential flaws that can affect code execution</t>
  </si>
  <si>
    <t>Check for incorrect thread or memory usage</t>
  </si>
  <si>
    <t>Check whether the code is Maintainable</t>
  </si>
  <si>
    <t>User Story Design</t>
  </si>
  <si>
    <r>
      <t>Project Start Date</t>
    </r>
    <r>
      <rPr>
        <b/>
        <sz val="10"/>
        <color rgb="FFFF0000"/>
        <rFont val="Arial"/>
        <family val="2"/>
      </rPr>
      <t>*</t>
    </r>
    <r>
      <rPr>
        <b/>
        <sz val="8"/>
        <color rgb="FFFF0000"/>
        <rFont val="Arial"/>
        <family val="2"/>
      </rPr>
      <t>MM/DD/YYYY</t>
    </r>
  </si>
  <si>
    <r>
      <t>Project End Date</t>
    </r>
    <r>
      <rPr>
        <b/>
        <sz val="10"/>
        <color rgb="FFFF0000"/>
        <rFont val="Arial"/>
        <family val="2"/>
      </rPr>
      <t>*</t>
    </r>
    <r>
      <rPr>
        <b/>
        <sz val="8"/>
        <color rgb="FFFF0000"/>
        <rFont val="Arial"/>
        <family val="2"/>
      </rPr>
      <t>MM/DD/YYYY</t>
    </r>
  </si>
  <si>
    <t>Associate 5</t>
  </si>
  <si>
    <t>Associate Name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</si>
</sst>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d\-mmm\-yy;@"/>
    <numFmt numFmtId="165" formatCode="[h]:mm:ss;@"/>
    <numFmt numFmtId="166" formatCode="0.0"/>
    <numFmt numFmtId="167" formatCode="dd\-mmm\-yy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7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9"/>
      <name val="Sylfaen"/>
      <family val="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20"/>
      <color indexed="18"/>
      <name val="Arial"/>
      <family val="2"/>
    </font>
    <font>
      <b/>
      <sz val="18"/>
      <color indexed="18"/>
      <name val="Arial"/>
      <family val="2"/>
    </font>
    <font>
      <sz val="14"/>
      <name val="Arial"/>
      <family val="2"/>
    </font>
    <font>
      <b/>
      <sz val="16"/>
      <color indexed="1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color indexed="23"/>
      <name val="Arial"/>
      <family val="2"/>
    </font>
    <font>
      <b/>
      <i/>
      <sz val="10"/>
      <name val="Arial"/>
      <family val="2"/>
    </font>
    <font>
      <sz val="18"/>
      <name val="Calibri"/>
      <family val="2"/>
      <scheme val="minor"/>
    </font>
    <font>
      <sz val="10"/>
      <color rgb="FFFF000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576366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i/>
      <sz val="8"/>
      <color indexed="18"/>
      <name val="Arial"/>
      <family val="2"/>
    </font>
    <font>
      <b/>
      <i/>
      <sz val="8"/>
      <color theme="0" tint="-0.34998626667073579"/>
      <name val="Arial"/>
      <family val="2"/>
    </font>
    <font>
      <i/>
      <sz val="8"/>
      <color theme="1"/>
      <name val="Arial"/>
      <family val="2"/>
    </font>
    <font>
      <b/>
      <sz val="11"/>
      <name val="Calibri"/>
      <family val="2"/>
      <scheme val="minor"/>
    </font>
    <font>
      <b/>
      <sz val="8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64">
    <xf numFmtId="0" fontId="0" fillId="0" borderId="0"/>
    <xf numFmtId="0" fontId="4" fillId="0" borderId="0"/>
    <xf numFmtId="0" fontId="5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2" applyNumberFormat="0" applyAlignment="0" applyProtection="0"/>
    <xf numFmtId="0" fontId="9" fillId="21" borderId="3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6" fillId="7" borderId="2" applyNumberFormat="0" applyAlignment="0" applyProtection="0"/>
    <xf numFmtId="0" fontId="17" fillId="0" borderId="7" applyNumberFormat="0" applyFill="0" applyAlignment="0" applyProtection="0"/>
    <xf numFmtId="0" fontId="18" fillId="2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3" borderId="8" applyNumberFormat="0" applyFont="0" applyAlignment="0" applyProtection="0"/>
    <xf numFmtId="0" fontId="20" fillId="20" borderId="9" applyNumberFormat="0" applyAlignment="0" applyProtection="0"/>
    <xf numFmtId="0" fontId="5" fillId="0" borderId="0"/>
    <xf numFmtId="0" fontId="21" fillId="0" borderId="0" applyNumberFormat="0" applyFill="0" applyBorder="0" applyAlignment="0" applyProtection="0"/>
    <xf numFmtId="0" fontId="22" fillId="0" borderId="10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164" fontId="24" fillId="0" borderId="0" applyNumberFormat="0" applyFill="0" applyBorder="0" applyAlignment="0" applyProtection="0">
      <alignment vertical="top"/>
      <protection locked="0"/>
    </xf>
    <xf numFmtId="164" fontId="5" fillId="0" borderId="0"/>
    <xf numFmtId="165" fontId="1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</cellStyleXfs>
  <cellXfs count="145">
    <xf numFmtId="0" fontId="0" fillId="0" borderId="0" xfId="0"/>
    <xf numFmtId="0" fontId="25" fillId="0" borderId="0" xfId="0" applyFont="1"/>
    <xf numFmtId="0" fontId="41" fillId="24" borderId="0" xfId="0" applyFont="1" applyFill="1" applyProtection="1"/>
    <xf numFmtId="0" fontId="3" fillId="24" borderId="0" xfId="0" applyFont="1" applyFill="1" applyProtection="1"/>
    <xf numFmtId="0" fontId="3" fillId="24" borderId="0" xfId="0" applyFont="1" applyFill="1" applyAlignment="1" applyProtection="1">
      <alignment horizontal="center" vertical="center"/>
    </xf>
    <xf numFmtId="9" fontId="27" fillId="32" borderId="1" xfId="0" applyNumberFormat="1" applyFont="1" applyFill="1" applyBorder="1" applyAlignment="1" applyProtection="1">
      <alignment vertical="center"/>
    </xf>
    <xf numFmtId="0" fontId="43" fillId="30" borderId="1" xfId="0" applyFont="1" applyFill="1" applyBorder="1" applyAlignment="1" applyProtection="1">
      <alignment horizontal="center" vertical="center"/>
    </xf>
    <xf numFmtId="0" fontId="3" fillId="30" borderId="1" xfId="0" applyFont="1" applyFill="1" applyBorder="1" applyProtection="1"/>
    <xf numFmtId="0" fontId="3" fillId="24" borderId="1" xfId="0" applyFont="1" applyFill="1" applyBorder="1" applyProtection="1"/>
    <xf numFmtId="166" fontId="45" fillId="31" borderId="1" xfId="0" applyNumberFormat="1" applyFont="1" applyFill="1" applyBorder="1" applyAlignment="1" applyProtection="1">
      <alignment horizontal="right" vertical="center"/>
    </xf>
    <xf numFmtId="166" fontId="3" fillId="27" borderId="1" xfId="0" applyNumberFormat="1" applyFont="1" applyFill="1" applyBorder="1" applyProtection="1"/>
    <xf numFmtId="0" fontId="0" fillId="0" borderId="0" xfId="0" applyBorder="1" applyProtection="1"/>
    <xf numFmtId="0" fontId="3" fillId="25" borderId="1" xfId="45" applyFont="1" applyFill="1" applyBorder="1" applyProtection="1"/>
    <xf numFmtId="0" fontId="0" fillId="0" borderId="1" xfId="0" applyBorder="1" applyProtection="1"/>
    <xf numFmtId="0" fontId="3" fillId="34" borderId="1" xfId="45" applyFont="1" applyFill="1" applyBorder="1" applyProtection="1">
      <protection locked="0"/>
    </xf>
    <xf numFmtId="0" fontId="30" fillId="25" borderId="0" xfId="163" applyFill="1" applyBorder="1" applyProtection="1"/>
    <xf numFmtId="0" fontId="31" fillId="25" borderId="0" xfId="163" applyFont="1" applyFill="1" applyBorder="1" applyProtection="1"/>
    <xf numFmtId="0" fontId="30" fillId="25" borderId="0" xfId="163" applyFill="1" applyBorder="1" applyAlignment="1" applyProtection="1">
      <alignment horizontal="center"/>
    </xf>
    <xf numFmtId="0" fontId="30" fillId="25" borderId="0" xfId="163" applyFill="1" applyProtection="1"/>
    <xf numFmtId="0" fontId="31" fillId="25" borderId="13" xfId="163" applyFont="1" applyFill="1" applyBorder="1" applyProtection="1"/>
    <xf numFmtId="0" fontId="31" fillId="25" borderId="14" xfId="163" applyFont="1" applyFill="1" applyBorder="1" applyProtection="1"/>
    <xf numFmtId="0" fontId="30" fillId="25" borderId="14" xfId="163" applyFill="1" applyBorder="1" applyProtection="1"/>
    <xf numFmtId="0" fontId="30" fillId="25" borderId="15" xfId="163" applyFill="1" applyBorder="1" applyAlignment="1" applyProtection="1">
      <alignment horizontal="center"/>
    </xf>
    <xf numFmtId="0" fontId="31" fillId="25" borderId="16" xfId="163" applyFont="1" applyFill="1" applyBorder="1" applyProtection="1"/>
    <xf numFmtId="0" fontId="30" fillId="25" borderId="17" xfId="163" applyFill="1" applyBorder="1" applyAlignment="1" applyProtection="1">
      <alignment horizontal="center"/>
    </xf>
    <xf numFmtId="0" fontId="30" fillId="25" borderId="16" xfId="163" applyFill="1" applyBorder="1" applyAlignment="1" applyProtection="1">
      <alignment horizontal="center"/>
    </xf>
    <xf numFmtId="0" fontId="30" fillId="25" borderId="17" xfId="163" applyFill="1" applyBorder="1" applyProtection="1"/>
    <xf numFmtId="0" fontId="30" fillId="25" borderId="16" xfId="163" applyFill="1" applyBorder="1" applyProtection="1"/>
    <xf numFmtId="0" fontId="5" fillId="25" borderId="0" xfId="163" applyFont="1" applyFill="1" applyBorder="1" applyProtection="1"/>
    <xf numFmtId="49" fontId="36" fillId="26" borderId="1" xfId="163" applyNumberFormat="1" applyFont="1" applyFill="1" applyBorder="1" applyAlignment="1" applyProtection="1">
      <alignment horizontal="center" vertical="center" wrapText="1"/>
    </xf>
    <xf numFmtId="0" fontId="37" fillId="26" borderId="1" xfId="163" applyFont="1" applyFill="1" applyBorder="1" applyAlignment="1" applyProtection="1">
      <alignment horizontal="justify" vertical="center" wrapText="1"/>
    </xf>
    <xf numFmtId="0" fontId="38" fillId="25" borderId="0" xfId="163" applyFont="1" applyFill="1" applyBorder="1" applyAlignment="1" applyProtection="1">
      <alignment vertical="top"/>
    </xf>
    <xf numFmtId="14" fontId="38" fillId="25" borderId="0" xfId="163" applyNumberFormat="1" applyFont="1" applyFill="1" applyBorder="1" applyAlignment="1" applyProtection="1">
      <alignment horizontal="left"/>
    </xf>
    <xf numFmtId="0" fontId="38" fillId="25" borderId="17" xfId="163" applyFont="1" applyFill="1" applyBorder="1" applyAlignment="1" applyProtection="1">
      <alignment horizontal="center" vertical="top"/>
    </xf>
    <xf numFmtId="0" fontId="38" fillId="25" borderId="0" xfId="163" applyFont="1" applyFill="1" applyAlignment="1" applyProtection="1">
      <alignment vertical="top"/>
    </xf>
    <xf numFmtId="0" fontId="37" fillId="25" borderId="0" xfId="163" applyFont="1" applyFill="1" applyBorder="1" applyProtection="1"/>
    <xf numFmtId="0" fontId="37" fillId="25" borderId="16" xfId="163" applyFont="1" applyFill="1" applyBorder="1" applyProtection="1"/>
    <xf numFmtId="0" fontId="38" fillId="25" borderId="0" xfId="163" applyFont="1" applyFill="1" applyBorder="1" applyAlignment="1" applyProtection="1">
      <alignment horizontal="center"/>
    </xf>
    <xf numFmtId="0" fontId="5" fillId="25" borderId="0" xfId="163" applyFont="1" applyFill="1" applyBorder="1" applyAlignment="1" applyProtection="1">
      <alignment horizontal="center"/>
    </xf>
    <xf numFmtId="0" fontId="5" fillId="25" borderId="17" xfId="163" applyFont="1" applyFill="1" applyBorder="1" applyAlignment="1" applyProtection="1">
      <alignment horizontal="center"/>
    </xf>
    <xf numFmtId="0" fontId="39" fillId="25" borderId="18" xfId="163" applyFont="1" applyFill="1" applyBorder="1" applyProtection="1"/>
    <xf numFmtId="0" fontId="37" fillId="25" borderId="19" xfId="163" applyFont="1" applyFill="1" applyBorder="1" applyProtection="1"/>
    <xf numFmtId="0" fontId="30" fillId="25" borderId="19" xfId="163" applyFill="1" applyBorder="1" applyProtection="1"/>
    <xf numFmtId="0" fontId="5" fillId="25" borderId="0" xfId="163" applyFont="1" applyFill="1" applyProtection="1"/>
    <xf numFmtId="0" fontId="30" fillId="25" borderId="0" xfId="163" applyFill="1" applyAlignment="1" applyProtection="1">
      <alignment horizontal="center"/>
    </xf>
    <xf numFmtId="0" fontId="40" fillId="25" borderId="0" xfId="163" applyFont="1" applyFill="1" applyAlignment="1" applyProtection="1">
      <alignment vertical="top"/>
    </xf>
    <xf numFmtId="0" fontId="37" fillId="25" borderId="0" xfId="163" applyFont="1" applyFill="1" applyAlignment="1" applyProtection="1">
      <alignment vertical="top"/>
    </xf>
    <xf numFmtId="0" fontId="37" fillId="25" borderId="0" xfId="163" applyFont="1" applyFill="1" applyProtection="1"/>
    <xf numFmtId="0" fontId="38" fillId="25" borderId="0" xfId="163" applyFont="1" applyFill="1" applyProtection="1"/>
    <xf numFmtId="0" fontId="27" fillId="28" borderId="1" xfId="45" applyFont="1" applyFill="1" applyBorder="1" applyAlignment="1" applyProtection="1">
      <alignment horizontal="center" vertical="center"/>
    </xf>
    <xf numFmtId="0" fontId="30" fillId="34" borderId="21" xfId="163" applyFill="1" applyBorder="1" applyAlignment="1" applyProtection="1">
      <alignment horizontal="left" vertical="top"/>
      <protection locked="0"/>
    </xf>
    <xf numFmtId="0" fontId="44" fillId="29" borderId="1" xfId="0" applyFont="1" applyFill="1" applyBorder="1" applyAlignment="1" applyProtection="1">
      <alignment vertical="center"/>
    </xf>
    <xf numFmtId="0" fontId="44" fillId="29" borderId="1" xfId="0" applyFont="1" applyFill="1" applyBorder="1" applyAlignment="1" applyProtection="1">
      <alignment vertical="center" wrapText="1"/>
    </xf>
    <xf numFmtId="0" fontId="0" fillId="0" borderId="0" xfId="0" applyFont="1"/>
    <xf numFmtId="0" fontId="50" fillId="0" borderId="0" xfId="0" applyFont="1"/>
    <xf numFmtId="0" fontId="51" fillId="0" borderId="1" xfId="0" applyFont="1" applyBorder="1" applyAlignment="1">
      <alignment horizontal="left" vertical="center" wrapText="1" indent="1"/>
    </xf>
    <xf numFmtId="0" fontId="28" fillId="40" borderId="1" xfId="0" applyFont="1" applyFill="1" applyBorder="1" applyAlignment="1">
      <alignment vertical="center" wrapText="1"/>
    </xf>
    <xf numFmtId="0" fontId="28" fillId="40" borderId="1" xfId="0" applyFont="1" applyFill="1" applyBorder="1"/>
    <xf numFmtId="0" fontId="28" fillId="4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6" fillId="24" borderId="20" xfId="0" applyFont="1" applyFill="1" applyBorder="1" applyAlignment="1" applyProtection="1">
      <alignment horizontal="left" vertical="center"/>
    </xf>
    <xf numFmtId="0" fontId="46" fillId="24" borderId="25" xfId="0" applyFont="1" applyFill="1" applyBorder="1" applyAlignment="1" applyProtection="1">
      <alignment horizontal="left" vertical="center"/>
    </xf>
    <xf numFmtId="0" fontId="55" fillId="34" borderId="21" xfId="163" applyFont="1" applyFill="1" applyBorder="1" applyAlignment="1" applyProtection="1">
      <alignment horizontal="left" vertical="center"/>
      <protection locked="0"/>
    </xf>
    <xf numFmtId="0" fontId="52" fillId="38" borderId="1" xfId="0" applyFont="1" applyFill="1" applyBorder="1" applyAlignment="1">
      <alignment horizontal="left" vertical="center" wrapText="1" indent="1"/>
    </xf>
    <xf numFmtId="0" fontId="5" fillId="34" borderId="22" xfId="163" applyFont="1" applyFill="1" applyBorder="1" applyAlignment="1" applyProtection="1">
      <alignment horizontal="left" vertical="top"/>
      <protection locked="0"/>
    </xf>
    <xf numFmtId="0" fontId="48" fillId="34" borderId="28" xfId="163" applyFont="1" applyFill="1" applyBorder="1" applyAlignment="1" applyProtection="1">
      <alignment horizontal="left" vertical="top"/>
      <protection locked="0"/>
    </xf>
    <xf numFmtId="0" fontId="55" fillId="34" borderId="30" xfId="163" applyFont="1" applyFill="1" applyBorder="1" applyAlignment="1" applyProtection="1">
      <alignment horizontal="left" vertical="center"/>
      <protection locked="0"/>
    </xf>
    <xf numFmtId="0" fontId="55" fillId="34" borderId="22" xfId="163" applyFont="1" applyFill="1" applyBorder="1" applyAlignment="1" applyProtection="1">
      <alignment horizontal="left" vertical="center"/>
      <protection locked="0"/>
    </xf>
    <xf numFmtId="0" fontId="27" fillId="28" borderId="20" xfId="45" applyFont="1" applyFill="1" applyBorder="1" applyAlignment="1" applyProtection="1">
      <alignment horizontal="center" vertical="center"/>
    </xf>
    <xf numFmtId="0" fontId="3" fillId="25" borderId="20" xfId="45" applyFont="1" applyFill="1" applyBorder="1" applyProtection="1"/>
    <xf numFmtId="0" fontId="56" fillId="36" borderId="37" xfId="45" applyFont="1" applyFill="1" applyBorder="1" applyAlignment="1" applyProtection="1">
      <alignment horizontal="center" vertical="center"/>
    </xf>
    <xf numFmtId="0" fontId="56" fillId="37" borderId="37" xfId="45" applyFont="1" applyFill="1" applyBorder="1" applyAlignment="1" applyProtection="1">
      <alignment horizontal="center" vertical="center"/>
    </xf>
    <xf numFmtId="0" fontId="56" fillId="33" borderId="38" xfId="45" applyFont="1" applyFill="1" applyBorder="1" applyAlignment="1" applyProtection="1">
      <alignment horizontal="center" vertical="center"/>
    </xf>
    <xf numFmtId="0" fontId="52" fillId="38" borderId="1" xfId="0" applyFont="1" applyFill="1" applyBorder="1" applyAlignment="1">
      <alignment horizontal="left" vertical="center" wrapText="1" indent="1"/>
    </xf>
    <xf numFmtId="0" fontId="39" fillId="25" borderId="42" xfId="163" applyFont="1" applyFill="1" applyBorder="1" applyProtection="1"/>
    <xf numFmtId="0" fontId="46" fillId="24" borderId="29" xfId="0" applyFont="1" applyFill="1" applyBorder="1" applyAlignment="1" applyProtection="1">
      <alignment horizontal="left" vertical="center" wrapText="1"/>
    </xf>
    <xf numFmtId="0" fontId="46" fillId="24" borderId="25" xfId="0" applyFont="1" applyFill="1" applyBorder="1" applyAlignment="1" applyProtection="1">
      <alignment horizontal="left" vertical="center" wrapText="1"/>
    </xf>
    <xf numFmtId="0" fontId="0" fillId="34" borderId="1" xfId="0" applyFill="1" applyBorder="1" applyProtection="1">
      <protection locked="0"/>
    </xf>
    <xf numFmtId="0" fontId="0" fillId="34" borderId="21" xfId="0" applyFill="1" applyBorder="1" applyProtection="1">
      <protection locked="0"/>
    </xf>
    <xf numFmtId="0" fontId="0" fillId="34" borderId="34" xfId="0" applyFill="1" applyBorder="1" applyProtection="1">
      <protection locked="0"/>
    </xf>
    <xf numFmtId="0" fontId="0" fillId="34" borderId="22" xfId="0" applyFill="1" applyBorder="1" applyProtection="1">
      <protection locked="0"/>
    </xf>
    <xf numFmtId="0" fontId="5" fillId="34" borderId="1" xfId="163" applyFont="1" applyFill="1" applyBorder="1" applyAlignment="1" applyProtection="1">
      <alignment horizontal="justify" vertical="center" wrapText="1"/>
      <protection locked="0"/>
    </xf>
    <xf numFmtId="167" fontId="5" fillId="34" borderId="1" xfId="163" applyNumberFormat="1" applyFont="1" applyFill="1" applyBorder="1" applyAlignment="1" applyProtection="1">
      <alignment horizontal="justify" vertical="center" wrapText="1"/>
      <protection locked="0"/>
    </xf>
    <xf numFmtId="1" fontId="3" fillId="34" borderId="1" xfId="0" applyNumberFormat="1" applyFont="1" applyFill="1" applyBorder="1" applyAlignment="1" applyProtection="1">
      <alignment horizontal="right" vertical="center"/>
      <protection locked="0"/>
    </xf>
    <xf numFmtId="166" fontId="45" fillId="34" borderId="1" xfId="0" applyNumberFormat="1" applyFont="1" applyFill="1" applyBorder="1" applyAlignment="1" applyProtection="1">
      <alignment horizontal="right" vertical="center"/>
    </xf>
    <xf numFmtId="0" fontId="32" fillId="25" borderId="16" xfId="163" applyFont="1" applyFill="1" applyBorder="1" applyAlignment="1" applyProtection="1">
      <alignment horizontal="center" vertical="center" wrapText="1"/>
    </xf>
    <xf numFmtId="0" fontId="32" fillId="25" borderId="0" xfId="163" applyFont="1" applyFill="1" applyBorder="1" applyAlignment="1" applyProtection="1">
      <alignment horizontal="center" vertical="center" wrapText="1"/>
    </xf>
    <xf numFmtId="0" fontId="32" fillId="25" borderId="17" xfId="163" applyFont="1" applyFill="1" applyBorder="1" applyAlignment="1" applyProtection="1">
      <alignment horizontal="center" vertical="center" wrapText="1"/>
    </xf>
    <xf numFmtId="0" fontId="34" fillId="25" borderId="16" xfId="163" applyFont="1" applyFill="1" applyBorder="1" applyAlignment="1" applyProtection="1">
      <alignment horizontal="center" vertical="center" wrapText="1"/>
    </xf>
    <xf numFmtId="0" fontId="34" fillId="25" borderId="0" xfId="163" applyFont="1" applyFill="1" applyBorder="1" applyAlignment="1" applyProtection="1">
      <alignment horizontal="center" vertical="center" wrapText="1"/>
    </xf>
    <xf numFmtId="0" fontId="34" fillId="25" borderId="17" xfId="163" applyFont="1" applyFill="1" applyBorder="1" applyAlignment="1" applyProtection="1">
      <alignment horizontal="center" vertical="center" wrapText="1"/>
    </xf>
    <xf numFmtId="0" fontId="35" fillId="25" borderId="16" xfId="163" applyFont="1" applyFill="1" applyBorder="1" applyAlignment="1" applyProtection="1">
      <alignment horizontal="center" vertical="center" wrapText="1"/>
    </xf>
    <xf numFmtId="0" fontId="35" fillId="25" borderId="0" xfId="163" applyFont="1" applyFill="1" applyBorder="1" applyAlignment="1" applyProtection="1">
      <alignment horizontal="center" vertical="center" wrapText="1"/>
    </xf>
    <xf numFmtId="0" fontId="35" fillId="25" borderId="17" xfId="163" applyFont="1" applyFill="1" applyBorder="1" applyAlignment="1" applyProtection="1">
      <alignment horizontal="center" vertical="center" wrapText="1"/>
    </xf>
    <xf numFmtId="0" fontId="54" fillId="34" borderId="11" xfId="163" applyFont="1" applyFill="1" applyBorder="1" applyAlignment="1" applyProtection="1">
      <alignment horizontal="center" vertical="center"/>
      <protection locked="0"/>
    </xf>
    <xf numFmtId="0" fontId="54" fillId="34" borderId="27" xfId="163" applyFont="1" applyFill="1" applyBorder="1" applyAlignment="1" applyProtection="1">
      <alignment horizontal="center" vertical="center"/>
      <protection locked="0"/>
    </xf>
    <xf numFmtId="0" fontId="42" fillId="25" borderId="23" xfId="163" applyFont="1" applyFill="1" applyBorder="1" applyAlignment="1" applyProtection="1">
      <alignment horizontal="center"/>
    </xf>
    <xf numFmtId="0" fontId="42" fillId="25" borderId="24" xfId="163" applyFont="1" applyFill="1" applyBorder="1" applyAlignment="1" applyProtection="1">
      <alignment horizontal="center"/>
    </xf>
    <xf numFmtId="0" fontId="32" fillId="34" borderId="16" xfId="163" applyFont="1" applyFill="1" applyBorder="1" applyAlignment="1" applyProtection="1">
      <alignment horizontal="center" vertical="center" wrapText="1"/>
      <protection locked="0"/>
    </xf>
    <xf numFmtId="0" fontId="32" fillId="34" borderId="0" xfId="163" applyFont="1" applyFill="1" applyBorder="1" applyAlignment="1" applyProtection="1">
      <alignment horizontal="center" vertical="center" wrapText="1"/>
      <protection locked="0"/>
    </xf>
    <xf numFmtId="0" fontId="32" fillId="34" borderId="17" xfId="163" applyFont="1" applyFill="1" applyBorder="1" applyAlignment="1" applyProtection="1">
      <alignment horizontal="center" vertical="center" wrapText="1"/>
      <protection locked="0"/>
    </xf>
    <xf numFmtId="0" fontId="33" fillId="25" borderId="16" xfId="163" applyFont="1" applyFill="1" applyBorder="1" applyAlignment="1" applyProtection="1">
      <alignment horizontal="center" vertical="center" wrapText="1"/>
    </xf>
    <xf numFmtId="0" fontId="33" fillId="25" borderId="0" xfId="163" applyFont="1" applyFill="1" applyBorder="1" applyAlignment="1" applyProtection="1">
      <alignment horizontal="center" vertical="center" wrapText="1"/>
    </xf>
    <xf numFmtId="0" fontId="33" fillId="25" borderId="17" xfId="163" applyFont="1" applyFill="1" applyBorder="1" applyAlignment="1" applyProtection="1">
      <alignment horizontal="center" vertical="center" wrapText="1"/>
    </xf>
    <xf numFmtId="0" fontId="26" fillId="27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8" fillId="40" borderId="1" xfId="0" applyFont="1" applyFill="1" applyBorder="1" applyAlignment="1">
      <alignment horizontal="center" vertical="center" wrapText="1"/>
    </xf>
    <xf numFmtId="0" fontId="2" fillId="38" borderId="1" xfId="0" applyFont="1" applyFill="1" applyBorder="1" applyAlignment="1">
      <alignment horizontal="center" vertical="center" wrapText="1"/>
    </xf>
    <xf numFmtId="0" fontId="52" fillId="38" borderId="1" xfId="0" applyFont="1" applyFill="1" applyBorder="1" applyAlignment="1">
      <alignment horizontal="left" vertical="center" wrapText="1" indent="1"/>
    </xf>
    <xf numFmtId="0" fontId="2" fillId="39" borderId="43" xfId="0" applyFont="1" applyFill="1" applyBorder="1" applyAlignment="1">
      <alignment horizontal="center" vertical="center" wrapText="1"/>
    </xf>
    <xf numFmtId="0" fontId="2" fillId="39" borderId="44" xfId="0" applyFont="1" applyFill="1" applyBorder="1" applyAlignment="1">
      <alignment horizontal="center" vertical="center" wrapText="1"/>
    </xf>
    <xf numFmtId="0" fontId="2" fillId="39" borderId="45" xfId="0" applyFont="1" applyFill="1" applyBorder="1" applyAlignment="1">
      <alignment horizontal="center" vertical="center" wrapText="1"/>
    </xf>
    <xf numFmtId="0" fontId="2" fillId="39" borderId="46" xfId="0" applyFont="1" applyFill="1" applyBorder="1" applyAlignment="1">
      <alignment horizontal="center" vertical="center" wrapText="1"/>
    </xf>
    <xf numFmtId="0" fontId="2" fillId="39" borderId="47" xfId="0" applyFont="1" applyFill="1" applyBorder="1" applyAlignment="1">
      <alignment horizontal="center" vertical="center" wrapText="1"/>
    </xf>
    <xf numFmtId="0" fontId="2" fillId="39" borderId="48" xfId="0" applyFont="1" applyFill="1" applyBorder="1" applyAlignment="1">
      <alignment horizontal="center" vertical="center" wrapText="1"/>
    </xf>
    <xf numFmtId="0" fontId="0" fillId="0" borderId="33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28" fillId="31" borderId="29" xfId="0" applyFont="1" applyFill="1" applyBorder="1" applyAlignment="1" applyProtection="1">
      <alignment horizontal="left" vertical="top"/>
    </xf>
    <xf numFmtId="0" fontId="28" fillId="31" borderId="31" xfId="0" applyFont="1" applyFill="1" applyBorder="1" applyAlignment="1" applyProtection="1">
      <alignment horizontal="left" vertical="top"/>
    </xf>
    <xf numFmtId="0" fontId="28" fillId="31" borderId="25" xfId="0" applyFont="1" applyFill="1" applyBorder="1" applyAlignment="1" applyProtection="1">
      <alignment horizontal="left" vertical="top"/>
    </xf>
    <xf numFmtId="0" fontId="28" fillId="31" borderId="34" xfId="0" applyFont="1" applyFill="1" applyBorder="1" applyAlignment="1" applyProtection="1">
      <alignment horizontal="left" vertical="top"/>
    </xf>
    <xf numFmtId="0" fontId="28" fillId="33" borderId="32" xfId="0" applyFont="1" applyFill="1" applyBorder="1" applyAlignment="1" applyProtection="1">
      <alignment horizontal="center"/>
    </xf>
    <xf numFmtId="0" fontId="28" fillId="33" borderId="14" xfId="0" applyFont="1" applyFill="1" applyBorder="1" applyAlignment="1" applyProtection="1">
      <alignment horizontal="center"/>
    </xf>
    <xf numFmtId="0" fontId="28" fillId="33" borderId="15" xfId="0" applyFont="1" applyFill="1" applyBorder="1" applyAlignment="1" applyProtection="1">
      <alignment horizontal="center"/>
    </xf>
    <xf numFmtId="9" fontId="28" fillId="33" borderId="35" xfId="0" applyNumberFormat="1" applyFont="1" applyFill="1" applyBorder="1" applyAlignment="1" applyProtection="1">
      <alignment horizontal="center" vertical="top"/>
    </xf>
    <xf numFmtId="9" fontId="28" fillId="33" borderId="19" xfId="0" applyNumberFormat="1" applyFont="1" applyFill="1" applyBorder="1" applyAlignment="1" applyProtection="1">
      <alignment horizontal="center" vertical="top"/>
    </xf>
    <xf numFmtId="9" fontId="28" fillId="33" borderId="36" xfId="0" applyNumberFormat="1" applyFont="1" applyFill="1" applyBorder="1" applyAlignment="1" applyProtection="1">
      <alignment horizontal="center" vertical="top"/>
    </xf>
    <xf numFmtId="0" fontId="2" fillId="41" borderId="39" xfId="0" applyFont="1" applyFill="1" applyBorder="1" applyAlignment="1" applyProtection="1">
      <alignment horizontal="center"/>
    </xf>
    <xf numFmtId="0" fontId="2" fillId="41" borderId="40" xfId="0" applyFont="1" applyFill="1" applyBorder="1" applyAlignment="1" applyProtection="1">
      <alignment horizontal="center"/>
    </xf>
    <xf numFmtId="0" fontId="2" fillId="41" borderId="41" xfId="0" applyFont="1" applyFill="1" applyBorder="1" applyAlignment="1" applyProtection="1">
      <alignment horizontal="center"/>
    </xf>
    <xf numFmtId="0" fontId="27" fillId="32" borderId="1" xfId="0" applyFont="1" applyFill="1" applyBorder="1" applyAlignment="1" applyProtection="1">
      <alignment horizontal="right" vertical="center"/>
    </xf>
    <xf numFmtId="9" fontId="29" fillId="32" borderId="1" xfId="0" applyNumberFormat="1" applyFont="1" applyFill="1" applyBorder="1" applyAlignment="1" applyProtection="1">
      <alignment horizontal="center" vertical="center" wrapText="1"/>
    </xf>
    <xf numFmtId="0" fontId="41" fillId="36" borderId="26" xfId="0" applyFont="1" applyFill="1" applyBorder="1" applyAlignment="1" applyProtection="1">
      <alignment horizontal="center"/>
    </xf>
    <xf numFmtId="0" fontId="41" fillId="37" borderId="26" xfId="0" applyFont="1" applyFill="1" applyBorder="1" applyAlignment="1" applyProtection="1">
      <alignment horizontal="center"/>
    </xf>
    <xf numFmtId="0" fontId="49" fillId="28" borderId="1" xfId="0" applyFont="1" applyFill="1" applyBorder="1" applyAlignment="1" applyProtection="1">
      <alignment horizontal="center" vertical="center" wrapText="1"/>
    </xf>
    <xf numFmtId="0" fontId="41" fillId="33" borderId="26" xfId="0" applyFont="1" applyFill="1" applyBorder="1" applyAlignment="1" applyProtection="1">
      <alignment horizontal="center"/>
    </xf>
    <xf numFmtId="0" fontId="28" fillId="31" borderId="1" xfId="0" applyFont="1" applyFill="1" applyBorder="1" applyAlignment="1" applyProtection="1">
      <alignment horizontal="left" vertical="top"/>
    </xf>
    <xf numFmtId="0" fontId="28" fillId="33" borderId="11" xfId="0" applyFont="1" applyFill="1" applyBorder="1" applyAlignment="1" applyProtection="1">
      <alignment horizontal="left"/>
    </xf>
    <xf numFmtId="0" fontId="28" fillId="33" borderId="12" xfId="0" applyFont="1" applyFill="1" applyBorder="1" applyAlignment="1" applyProtection="1">
      <alignment horizontal="left"/>
    </xf>
    <xf numFmtId="9" fontId="28" fillId="33" borderId="11" xfId="0" applyNumberFormat="1" applyFont="1" applyFill="1" applyBorder="1" applyAlignment="1" applyProtection="1">
      <alignment horizontal="left" vertical="top"/>
    </xf>
    <xf numFmtId="9" fontId="28" fillId="33" borderId="12" xfId="0" applyNumberFormat="1" applyFont="1" applyFill="1" applyBorder="1" applyAlignment="1" applyProtection="1">
      <alignment horizontal="left" vertical="top"/>
    </xf>
  </cellXfs>
  <cellStyles count="164"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Explanatory Text 2" xfId="30"/>
    <cellStyle name="Good 2" xfId="31"/>
    <cellStyle name="Heading 1 2" xfId="32"/>
    <cellStyle name="Heading 2 2" xfId="33"/>
    <cellStyle name="Heading 3 2" xfId="34"/>
    <cellStyle name="Heading 4 2" xfId="35"/>
    <cellStyle name="Hyperlink 2" xfId="36"/>
    <cellStyle name="Hyperlink 2 2" xfId="130"/>
    <cellStyle name="Hyperlink 3" xfId="129"/>
    <cellStyle name="Input 2" xfId="37"/>
    <cellStyle name="Linked Cell 2" xfId="38"/>
    <cellStyle name="Neutral 2" xfId="39"/>
    <cellStyle name="Normal" xfId="0" builtinId="0"/>
    <cellStyle name="Normal 10" xfId="2"/>
    <cellStyle name="Normal 10 2" xfId="153"/>
    <cellStyle name="Normal 10 2 2" xfId="161"/>
    <cellStyle name="Normal 11" xfId="40"/>
    <cellStyle name="Normal 12" xfId="41"/>
    <cellStyle name="Normal 13" xfId="42"/>
    <cellStyle name="Normal 14" xfId="43"/>
    <cellStyle name="Normal 15" xfId="44"/>
    <cellStyle name="Normal 16" xfId="152"/>
    <cellStyle name="Normal 16 2" xfId="160"/>
    <cellStyle name="Normal 17" xfId="154"/>
    <cellStyle name="Normal 17 2" xfId="162"/>
    <cellStyle name="Normal 18" xfId="155"/>
    <cellStyle name="Normal 18 2" xfId="159"/>
    <cellStyle name="Normal 19" xfId="158"/>
    <cellStyle name="Normal 2" xfId="45"/>
    <cellStyle name="Normal 2 10" xfId="46"/>
    <cellStyle name="Normal 2 11" xfId="47"/>
    <cellStyle name="Normal 2 12" xfId="48"/>
    <cellStyle name="Normal 2 13" xfId="49"/>
    <cellStyle name="Normal 2 14" xfId="50"/>
    <cellStyle name="Normal 2 15" xfId="51"/>
    <cellStyle name="Normal 2 16" xfId="52"/>
    <cellStyle name="Normal 2 17" xfId="53"/>
    <cellStyle name="Normal 2 18" xfId="54"/>
    <cellStyle name="Normal 2 19" xfId="55"/>
    <cellStyle name="Normal 2 2" xfId="56"/>
    <cellStyle name="Normal 2 2 10" xfId="57"/>
    <cellStyle name="Normal 2 2 11" xfId="58"/>
    <cellStyle name="Normal 2 2 12" xfId="59"/>
    <cellStyle name="Normal 2 2 13" xfId="60"/>
    <cellStyle name="Normal 2 2 14" xfId="61"/>
    <cellStyle name="Normal 2 2 15" xfId="62"/>
    <cellStyle name="Normal 2 2 16" xfId="131"/>
    <cellStyle name="Normal 2 2 2" xfId="63"/>
    <cellStyle name="Normal 2 2 2 10" xfId="64"/>
    <cellStyle name="Normal 2 2 2 11" xfId="65"/>
    <cellStyle name="Normal 2 2 2 12" xfId="66"/>
    <cellStyle name="Normal 2 2 2 13" xfId="67"/>
    <cellStyle name="Normal 2 2 2 14" xfId="68"/>
    <cellStyle name="Normal 2 2 2 15" xfId="69"/>
    <cellStyle name="Normal 2 2 2 16" xfId="132"/>
    <cellStyle name="Normal 2 2 2 2" xfId="70"/>
    <cellStyle name="Normal 2 2 2 3" xfId="71"/>
    <cellStyle name="Normal 2 2 2 4" xfId="72"/>
    <cellStyle name="Normal 2 2 2 5" xfId="73"/>
    <cellStyle name="Normal 2 2 2 6" xfId="74"/>
    <cellStyle name="Normal 2 2 2 7" xfId="75"/>
    <cellStyle name="Normal 2 2 2 8" xfId="76"/>
    <cellStyle name="Normal 2 2 2 9" xfId="77"/>
    <cellStyle name="Normal 2 2 3" xfId="78"/>
    <cellStyle name="Normal 2 2 4" xfId="79"/>
    <cellStyle name="Normal 2 2 5" xfId="80"/>
    <cellStyle name="Normal 2 2 6" xfId="81"/>
    <cellStyle name="Normal 2 2 7" xfId="82"/>
    <cellStyle name="Normal 2 2 8" xfId="83"/>
    <cellStyle name="Normal 2 2 9" xfId="84"/>
    <cellStyle name="Normal 2 20" xfId="85"/>
    <cellStyle name="Normal 2 21" xfId="86"/>
    <cellStyle name="Normal 2 22" xfId="87"/>
    <cellStyle name="Normal 2 23" xfId="88"/>
    <cellStyle name="Normal 2 24" xfId="89"/>
    <cellStyle name="Normal 2 25" xfId="90"/>
    <cellStyle name="Normal 2 26" xfId="91"/>
    <cellStyle name="Normal 2 27" xfId="92"/>
    <cellStyle name="Normal 2 28" xfId="93"/>
    <cellStyle name="Normal 2 3" xfId="94"/>
    <cellStyle name="Normal 2 4" xfId="95"/>
    <cellStyle name="Normal 2 4 2" xfId="96"/>
    <cellStyle name="Normal 2 5" xfId="97"/>
    <cellStyle name="Normal 2 5 2" xfId="98"/>
    <cellStyle name="Normal 2 6" xfId="99"/>
    <cellStyle name="Normal 2 6 2" xfId="100"/>
    <cellStyle name="Normal 2 7" xfId="101"/>
    <cellStyle name="Normal 2 7 2" xfId="102"/>
    <cellStyle name="Normal 2 8" xfId="103"/>
    <cellStyle name="Normal 2 8 2" xfId="104"/>
    <cellStyle name="Normal 2 9" xfId="105"/>
    <cellStyle name="Normal 2 9 2" xfId="106"/>
    <cellStyle name="Normal 2_Book1" xfId="107"/>
    <cellStyle name="Normal 20" xfId="163"/>
    <cellStyle name="Normal 3" xfId="1"/>
    <cellStyle name="Normal 3 2" xfId="108"/>
    <cellStyle name="Normal 3 2 2" xfId="109"/>
    <cellStyle name="Normal 3 3" xfId="110"/>
    <cellStyle name="Normal 3 3 2" xfId="133"/>
    <cellStyle name="Normal 3 4" xfId="134"/>
    <cellStyle name="Normal 3 5" xfId="135"/>
    <cellStyle name="Normal 3 6" xfId="136"/>
    <cellStyle name="Normal 3 7" xfId="137"/>
    <cellStyle name="Normal 3_Book1" xfId="111"/>
    <cellStyle name="Normal 4" xfId="112"/>
    <cellStyle name="Normal 4 2" xfId="113"/>
    <cellStyle name="Normal 4 3" xfId="138"/>
    <cellStyle name="Normal 4 4" xfId="139"/>
    <cellStyle name="Normal 4 5" xfId="140"/>
    <cellStyle name="Normal 4 6" xfId="141"/>
    <cellStyle name="Normal 4 7" xfId="142"/>
    <cellStyle name="Normal 4_Dotnet" xfId="114"/>
    <cellStyle name="Normal 5" xfId="115"/>
    <cellStyle name="Normal 5 2" xfId="116"/>
    <cellStyle name="Normal 5 2 2" xfId="117"/>
    <cellStyle name="Normal 5 3" xfId="143"/>
    <cellStyle name="Normal 5 4" xfId="144"/>
    <cellStyle name="Normal 5 5" xfId="145"/>
    <cellStyle name="Normal 5 6" xfId="146"/>
    <cellStyle name="Normal 5 7" xfId="147"/>
    <cellStyle name="Normal 5 8" xfId="156"/>
    <cellStyle name="Normal 5 8 2" xfId="157"/>
    <cellStyle name="Normal 6" xfId="118"/>
    <cellStyle name="Normal 6 2" xfId="148"/>
    <cellStyle name="Normal 7" xfId="119"/>
    <cellStyle name="Normal 7 2" xfId="120"/>
    <cellStyle name="Normal 7 3" xfId="149"/>
    <cellStyle name="Normal 8" xfId="121"/>
    <cellStyle name="Normal 8 2" xfId="150"/>
    <cellStyle name="Normal 9" xfId="122"/>
    <cellStyle name="Note 2" xfId="123"/>
    <cellStyle name="Output 2" xfId="124"/>
    <cellStyle name="Style 1" xfId="125"/>
    <cellStyle name="Style 1 2" xfId="151"/>
    <cellStyle name="Title 2" xfId="126"/>
    <cellStyle name="Total 2" xfId="127"/>
    <cellStyle name="Warning Text 2" xfId="128"/>
  </cellStyles>
  <dxfs count="11"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CCFFFF"/>
      <color rgb="FFFFFFCC"/>
      <color rgb="FFFFFF89"/>
      <color rgb="FFFFFF9B"/>
      <color rgb="FFFFFF66"/>
      <color rgb="FFF7FB65"/>
      <color rgb="FFFFFFC5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image001.png@01D5D50E.B865DEC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8" name="Line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9" name="Line 1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11" name="Text Box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15" name="Text Box 19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297007</xdr:colOff>
      <xdr:row>11</xdr:row>
      <xdr:rowOff>21649</xdr:rowOff>
    </xdr:from>
    <xdr:to>
      <xdr:col>6</xdr:col>
      <xdr:colOff>830407</xdr:colOff>
      <xdr:row>17</xdr:row>
      <xdr:rowOff>22514</xdr:rowOff>
    </xdr:to>
    <xdr:pic>
      <xdr:nvPicPr>
        <xdr:cNvPr id="16" name="Picture 20" descr="conten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99" b="83333"/>
        <a:stretch>
          <a:fillRect/>
        </a:stretch>
      </xdr:blipFill>
      <xdr:spPr bwMode="auto">
        <a:xfrm>
          <a:off x="600075" y="2714626"/>
          <a:ext cx="5339196" cy="1507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51955</xdr:colOff>
      <xdr:row>1</xdr:row>
      <xdr:rowOff>103908</xdr:rowOff>
    </xdr:from>
    <xdr:to>
      <xdr:col>2</xdr:col>
      <xdr:colOff>744682</xdr:colOff>
      <xdr:row>3</xdr:row>
      <xdr:rowOff>51955</xdr:rowOff>
    </xdr:to>
    <xdr:pic>
      <xdr:nvPicPr>
        <xdr:cNvPr id="21" name="Picture 20" descr="cid:image001.png@01D5D50E.B865DEC0"/>
        <xdr:cNvPicPr/>
      </xdr:nvPicPr>
      <xdr:blipFill>
        <a:blip xmlns:r="http://schemas.openxmlformats.org/officeDocument/2006/relationships" r:embed="rId2" r:link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023" y="346363"/>
          <a:ext cx="1220932" cy="415637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7" name="Rounded Rectangle 6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523875</xdr:colOff>
      <xdr:row>0</xdr:row>
      <xdr:rowOff>114300</xdr:rowOff>
    </xdr:from>
    <xdr:to>
      <xdr:col>9</xdr:col>
      <xdr:colOff>800100</xdr:colOff>
      <xdr:row>1</xdr:row>
      <xdr:rowOff>95250</xdr:rowOff>
    </xdr:to>
    <xdr:sp macro="" textlink="">
      <xdr:nvSpPr>
        <xdr:cNvPr id="4" name="5-Point Star 3"/>
        <xdr:cNvSpPr/>
      </xdr:nvSpPr>
      <xdr:spPr>
        <a:xfrm>
          <a:off x="10553700" y="114300"/>
          <a:ext cx="276225" cy="21907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828675</xdr:colOff>
      <xdr:row>0</xdr:row>
      <xdr:rowOff>114300</xdr:rowOff>
    </xdr:from>
    <xdr:to>
      <xdr:col>9</xdr:col>
      <xdr:colOff>1104900</xdr:colOff>
      <xdr:row>1</xdr:row>
      <xdr:rowOff>95250</xdr:rowOff>
    </xdr:to>
    <xdr:sp macro="" textlink="">
      <xdr:nvSpPr>
        <xdr:cNvPr id="5" name="5-Point Star 4"/>
        <xdr:cNvSpPr/>
      </xdr:nvSpPr>
      <xdr:spPr>
        <a:xfrm>
          <a:off x="10858500" y="114300"/>
          <a:ext cx="276225" cy="219075"/>
        </a:xfrm>
        <a:prstGeom prst="star5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219075</xdr:colOff>
      <xdr:row>0</xdr:row>
      <xdr:rowOff>114300</xdr:rowOff>
    </xdr:from>
    <xdr:to>
      <xdr:col>9</xdr:col>
      <xdr:colOff>495300</xdr:colOff>
      <xdr:row>1</xdr:row>
      <xdr:rowOff>95250</xdr:rowOff>
    </xdr:to>
    <xdr:sp macro="" textlink="">
      <xdr:nvSpPr>
        <xdr:cNvPr id="6" name="5-Point Star 5"/>
        <xdr:cNvSpPr/>
      </xdr:nvSpPr>
      <xdr:spPr>
        <a:xfrm>
          <a:off x="10248900" y="114300"/>
          <a:ext cx="276225" cy="219075"/>
        </a:xfrm>
        <a:prstGeom prst="star5">
          <a:avLst/>
        </a:prstGeom>
        <a:solidFill>
          <a:srgbClr val="92D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590550</xdr:colOff>
          <xdr:row>0</xdr:row>
          <xdr:rowOff>247650</xdr:rowOff>
        </xdr:from>
        <xdr:to>
          <xdr:col>21</xdr:col>
          <xdr:colOff>9525</xdr:colOff>
          <xdr:row>2</xdr:row>
          <xdr:rowOff>9525</xdr:rowOff>
        </xdr:to>
        <xdr:sp macro="" textlink="">
          <xdr:nvSpPr>
            <xdr:cNvPr id="3074" name="cmdGotoReadM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581025</xdr:colOff>
          <xdr:row>0</xdr:row>
          <xdr:rowOff>257175</xdr:rowOff>
        </xdr:from>
        <xdr:to>
          <xdr:col>21</xdr:col>
          <xdr:colOff>0</xdr:colOff>
          <xdr:row>2</xdr:row>
          <xdr:rowOff>19050</xdr:rowOff>
        </xdr:to>
        <xdr:sp macro="" textlink="">
          <xdr:nvSpPr>
            <xdr:cNvPr id="4097" name="cmdGotoReadM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p31297\sw%20dfss\WINDOWS\TEMP\docs2\6SIGMA\CLASS\gb%20datafiles\DFSS\Analysi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sinentsiwr\qa\CTS\Quality\SCM\SCM_Items_Stagewise_052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sintdlsqaa\Quality\Documents%20and%20Settings\105557\Desktop\QTDM-DFTTR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sintdlsqaa\Quality\Documents%20and%20Settings\105557\Desktop\QTDM-SCMP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"/>
    </sheetNames>
    <definedNames>
      <definedName name="Calc_sens2"/>
      <definedName name="Clear_sens2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MG"/>
      <sheetName val="Access Rights - Large projects"/>
      <sheetName val="Access Rights - Small projects"/>
      <sheetName val="Access Rights"/>
      <sheetName val="Change Request Details"/>
      <sheetName val="Change Request - Template Code"/>
      <sheetName val="List of SCI tools"/>
      <sheetName val="List Of SCI Codes"/>
      <sheetName val="SCI Metric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Initiated</v>
          </cell>
          <cell r="B2" t="str">
            <v>High</v>
          </cell>
        </row>
        <row r="3">
          <cell r="A3" t="str">
            <v>Impact Analysis</v>
          </cell>
          <cell r="B3" t="str">
            <v>Medium</v>
          </cell>
        </row>
        <row r="4">
          <cell r="A4" t="str">
            <v>Approved</v>
          </cell>
          <cell r="B4" t="str">
            <v>Low</v>
          </cell>
        </row>
        <row r="5">
          <cell r="A5" t="str">
            <v>Rejected</v>
          </cell>
        </row>
        <row r="6">
          <cell r="A6" t="str">
            <v>Deferred</v>
          </cell>
        </row>
        <row r="7">
          <cell r="A7" t="str">
            <v>Development</v>
          </cell>
        </row>
        <row r="8">
          <cell r="A8" t="str">
            <v>Closed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Defect_Log"/>
      <sheetName val="Defect_Resolution"/>
      <sheetName val="DefectTypes_Causes"/>
      <sheetName val="QTDSCMP_Data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CM_Team&amp;ReleaseNumberingScheme"/>
      <sheetName val="Project_SCIs"/>
      <sheetName val="Quality_Records"/>
      <sheetName val="Proj_Lib_Bckup_Archival"/>
      <sheetName val="User_Groups_Access"/>
      <sheetName val="User_Access "/>
      <sheetName val="QTDSCMP_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499984740745262"/>
  </sheetPr>
  <dimension ref="A1:J31"/>
  <sheetViews>
    <sheetView topLeftCell="B10" zoomScale="110" zoomScaleNormal="110" workbookViewId="0">
      <selection activeCell="J14" sqref="J14"/>
    </sheetView>
  </sheetViews>
  <sheetFormatPr defaultColWidth="9.85546875" defaultRowHeight="12.75" x14ac:dyDescent="0.2"/>
  <cols>
    <col min="1" max="1" width="4.5703125" style="15" customWidth="1"/>
    <col min="2" max="2" width="7.85546875" style="18" customWidth="1"/>
    <col min="3" max="3" width="11.5703125" style="43" customWidth="1"/>
    <col min="4" max="4" width="17" style="18" customWidth="1"/>
    <col min="5" max="5" width="17.7109375" style="18" customWidth="1"/>
    <col min="6" max="6" width="17.85546875" style="18" customWidth="1"/>
    <col min="7" max="7" width="17.85546875" style="44" customWidth="1"/>
    <col min="8" max="8" width="9.85546875" style="18"/>
    <col min="9" max="9" width="28" style="18" bestFit="1" customWidth="1"/>
    <col min="10" max="10" width="38" style="18" bestFit="1" customWidth="1"/>
    <col min="11" max="16384" width="9.85546875" style="18"/>
  </cols>
  <sheetData>
    <row r="1" spans="2:10" ht="18.75" thickBot="1" x14ac:dyDescent="0.3">
      <c r="B1" s="16"/>
      <c r="C1" s="16"/>
      <c r="D1" s="15"/>
      <c r="E1" s="15"/>
      <c r="F1" s="15"/>
      <c r="G1" s="17"/>
    </row>
    <row r="2" spans="2:10" ht="18" x14ac:dyDescent="0.25">
      <c r="B2" s="19"/>
      <c r="C2" s="20"/>
      <c r="D2" s="21"/>
      <c r="E2" s="21"/>
      <c r="F2" s="21"/>
      <c r="G2" s="22"/>
      <c r="I2" s="94" t="s">
        <v>109</v>
      </c>
      <c r="J2" s="95"/>
    </row>
    <row r="3" spans="2:10" ht="18.75" thickBot="1" x14ac:dyDescent="0.3">
      <c r="B3" s="23"/>
      <c r="C3" s="16"/>
      <c r="D3" s="15"/>
      <c r="E3" s="15"/>
      <c r="F3" s="15"/>
      <c r="G3" s="24"/>
      <c r="I3" s="11"/>
      <c r="J3" s="11"/>
    </row>
    <row r="4" spans="2:10" ht="18" x14ac:dyDescent="0.25">
      <c r="B4" s="23"/>
      <c r="C4" s="16"/>
      <c r="D4" s="15"/>
      <c r="E4" s="15"/>
      <c r="F4" s="15"/>
      <c r="G4" s="24"/>
      <c r="I4" s="96" t="s">
        <v>0</v>
      </c>
      <c r="J4" s="97"/>
    </row>
    <row r="5" spans="2:10" ht="20.100000000000001" customHeight="1" x14ac:dyDescent="0.25">
      <c r="B5" s="23"/>
      <c r="C5" s="16"/>
      <c r="D5" s="15"/>
      <c r="E5" s="15"/>
      <c r="F5" s="15"/>
      <c r="G5" s="24"/>
      <c r="I5" s="60" t="s">
        <v>111</v>
      </c>
      <c r="J5" s="62" t="s">
        <v>112</v>
      </c>
    </row>
    <row r="6" spans="2:10" ht="20.100000000000001" customHeight="1" x14ac:dyDescent="0.2">
      <c r="B6" s="98" t="s">
        <v>99</v>
      </c>
      <c r="C6" s="99"/>
      <c r="D6" s="99"/>
      <c r="E6" s="99"/>
      <c r="F6" s="99"/>
      <c r="G6" s="100"/>
      <c r="I6" s="60" t="s">
        <v>113</v>
      </c>
      <c r="J6" s="62" t="s">
        <v>114</v>
      </c>
    </row>
    <row r="7" spans="2:10" ht="20.100000000000001" customHeight="1" x14ac:dyDescent="0.2">
      <c r="B7" s="98"/>
      <c r="C7" s="99"/>
      <c r="D7" s="99"/>
      <c r="E7" s="99"/>
      <c r="F7" s="99"/>
      <c r="G7" s="100"/>
      <c r="I7" s="60" t="s">
        <v>1</v>
      </c>
      <c r="J7" s="62" t="s">
        <v>100</v>
      </c>
    </row>
    <row r="8" spans="2:10" ht="20.100000000000001" customHeight="1" x14ac:dyDescent="0.2">
      <c r="B8" s="85"/>
      <c r="C8" s="86"/>
      <c r="D8" s="86"/>
      <c r="E8" s="86"/>
      <c r="F8" s="86"/>
      <c r="G8" s="87"/>
      <c r="I8" s="60" t="s">
        <v>2</v>
      </c>
      <c r="J8" s="62" t="s">
        <v>101</v>
      </c>
    </row>
    <row r="9" spans="2:10" ht="20.100000000000001" customHeight="1" x14ac:dyDescent="0.2">
      <c r="B9" s="101"/>
      <c r="C9" s="102"/>
      <c r="D9" s="102"/>
      <c r="E9" s="102"/>
      <c r="F9" s="102"/>
      <c r="G9" s="103"/>
      <c r="I9" s="60" t="s">
        <v>103</v>
      </c>
      <c r="J9" s="62" t="s">
        <v>106</v>
      </c>
    </row>
    <row r="10" spans="2:10" ht="20.100000000000001" customHeight="1" x14ac:dyDescent="0.2">
      <c r="B10" s="85" t="s">
        <v>3</v>
      </c>
      <c r="C10" s="86"/>
      <c r="D10" s="86"/>
      <c r="E10" s="86"/>
      <c r="F10" s="86"/>
      <c r="G10" s="87"/>
      <c r="I10" s="60" t="s">
        <v>4</v>
      </c>
      <c r="J10" s="62" t="s">
        <v>102</v>
      </c>
    </row>
    <row r="11" spans="2:10" ht="20.100000000000001" customHeight="1" x14ac:dyDescent="0.2">
      <c r="B11" s="88"/>
      <c r="C11" s="89"/>
      <c r="D11" s="89"/>
      <c r="E11" s="89"/>
      <c r="F11" s="89"/>
      <c r="G11" s="90"/>
      <c r="I11" s="60" t="s">
        <v>104</v>
      </c>
      <c r="J11" s="62" t="s">
        <v>107</v>
      </c>
    </row>
    <row r="12" spans="2:10" ht="20.100000000000001" customHeight="1" x14ac:dyDescent="0.2">
      <c r="B12" s="88"/>
      <c r="C12" s="89"/>
      <c r="D12" s="89"/>
      <c r="E12" s="89"/>
      <c r="F12" s="89"/>
      <c r="G12" s="90"/>
      <c r="I12" s="60" t="s">
        <v>105</v>
      </c>
      <c r="J12" s="62" t="s">
        <v>108</v>
      </c>
    </row>
    <row r="13" spans="2:10" ht="20.100000000000001" customHeight="1" x14ac:dyDescent="0.2">
      <c r="B13" s="91"/>
      <c r="C13" s="92"/>
      <c r="D13" s="92"/>
      <c r="E13" s="92"/>
      <c r="F13" s="92"/>
      <c r="G13" s="93"/>
      <c r="I13" s="60" t="s">
        <v>5</v>
      </c>
      <c r="J13" s="50" t="s">
        <v>41</v>
      </c>
    </row>
    <row r="14" spans="2:10" ht="20.100000000000001" customHeight="1" thickBot="1" x14ac:dyDescent="0.25">
      <c r="B14" s="25"/>
      <c r="C14" s="17"/>
      <c r="D14" s="17"/>
      <c r="E14" s="17"/>
      <c r="F14" s="17"/>
      <c r="G14" s="26"/>
      <c r="I14" s="61" t="s">
        <v>7</v>
      </c>
      <c r="J14" s="64" t="s">
        <v>8</v>
      </c>
    </row>
    <row r="15" spans="2:10" ht="20.100000000000001" customHeight="1" thickBot="1" x14ac:dyDescent="0.25">
      <c r="B15" s="27"/>
      <c r="C15" s="28"/>
      <c r="D15" s="15"/>
      <c r="E15" s="15"/>
      <c r="F15" s="15"/>
      <c r="G15" s="26"/>
      <c r="J15" s="65" t="s">
        <v>9</v>
      </c>
    </row>
    <row r="16" spans="2:10" ht="20.100000000000001" customHeight="1" x14ac:dyDescent="0.2">
      <c r="B16" s="27"/>
      <c r="C16" s="28"/>
      <c r="D16" s="15"/>
      <c r="E16" s="15"/>
      <c r="F16" s="15"/>
      <c r="G16" s="26"/>
      <c r="I16" s="75" t="s">
        <v>132</v>
      </c>
      <c r="J16" s="66" t="s">
        <v>115</v>
      </c>
    </row>
    <row r="17" spans="1:10" ht="20.100000000000001" customHeight="1" thickBot="1" x14ac:dyDescent="0.25">
      <c r="B17" s="27"/>
      <c r="C17" s="28"/>
      <c r="D17" s="15"/>
      <c r="E17" s="15"/>
      <c r="F17" s="15"/>
      <c r="G17" s="26"/>
      <c r="I17" s="76" t="s">
        <v>133</v>
      </c>
      <c r="J17" s="67" t="s">
        <v>116</v>
      </c>
    </row>
    <row r="18" spans="1:10" x14ac:dyDescent="0.2">
      <c r="B18" s="27"/>
      <c r="C18" s="28"/>
      <c r="D18" s="15"/>
      <c r="E18" s="15"/>
      <c r="F18" s="15"/>
      <c r="G18" s="26"/>
    </row>
    <row r="19" spans="1:10" x14ac:dyDescent="0.2">
      <c r="B19" s="27"/>
      <c r="C19" s="28"/>
      <c r="D19" s="15"/>
      <c r="E19" s="15"/>
      <c r="F19" s="15"/>
      <c r="G19" s="26"/>
    </row>
    <row r="20" spans="1:10" ht="55.5" customHeight="1" x14ac:dyDescent="0.2">
      <c r="B20" s="27"/>
      <c r="C20" s="29"/>
      <c r="D20" s="29" t="s">
        <v>10</v>
      </c>
      <c r="E20" s="29" t="s">
        <v>11</v>
      </c>
      <c r="F20" s="29" t="s">
        <v>12</v>
      </c>
      <c r="G20" s="26"/>
      <c r="H20" s="15"/>
    </row>
    <row r="21" spans="1:10" ht="25.5" x14ac:dyDescent="0.2">
      <c r="B21" s="27"/>
      <c r="C21" s="30" t="s">
        <v>13</v>
      </c>
      <c r="D21" s="81" t="s">
        <v>14</v>
      </c>
      <c r="E21" s="81" t="s">
        <v>15</v>
      </c>
      <c r="F21" s="81" t="s">
        <v>15</v>
      </c>
      <c r="G21" s="26"/>
      <c r="H21" s="15"/>
    </row>
    <row r="22" spans="1:10" x14ac:dyDescent="0.2">
      <c r="B22" s="27"/>
      <c r="C22" s="30" t="s">
        <v>16</v>
      </c>
      <c r="D22" s="81"/>
      <c r="E22" s="81"/>
      <c r="F22" s="81"/>
      <c r="G22" s="26"/>
      <c r="H22" s="15"/>
    </row>
    <row r="23" spans="1:10" ht="21" customHeight="1" x14ac:dyDescent="0.2">
      <c r="B23" s="27"/>
      <c r="C23" s="30" t="s">
        <v>17</v>
      </c>
      <c r="D23" s="81"/>
      <c r="E23" s="81"/>
      <c r="F23" s="81"/>
      <c r="G23" s="26"/>
      <c r="H23" s="15"/>
    </row>
    <row r="24" spans="1:10" x14ac:dyDescent="0.2">
      <c r="B24" s="27"/>
      <c r="C24" s="30" t="s">
        <v>18</v>
      </c>
      <c r="D24" s="82"/>
      <c r="E24" s="82"/>
      <c r="F24" s="82"/>
      <c r="G24" s="26"/>
      <c r="H24" s="15"/>
    </row>
    <row r="25" spans="1:10" s="34" customFormat="1" x14ac:dyDescent="0.2">
      <c r="A25" s="31"/>
      <c r="B25" s="27"/>
      <c r="C25" s="32"/>
      <c r="D25" s="15"/>
      <c r="E25" s="15"/>
      <c r="F25" s="31"/>
      <c r="G25" s="33"/>
    </row>
    <row r="26" spans="1:10" s="34" customFormat="1" x14ac:dyDescent="0.2">
      <c r="A26" s="31"/>
      <c r="B26" s="36"/>
      <c r="C26" s="35"/>
      <c r="D26" s="15"/>
      <c r="E26" s="15"/>
      <c r="F26" s="31"/>
      <c r="G26" s="33"/>
    </row>
    <row r="27" spans="1:10" ht="13.5" thickBot="1" x14ac:dyDescent="0.25">
      <c r="B27" s="27"/>
      <c r="C27" s="37"/>
      <c r="D27" s="38"/>
      <c r="E27" s="38"/>
      <c r="F27" s="38"/>
      <c r="G27" s="39"/>
    </row>
    <row r="28" spans="1:10" ht="13.5" thickBot="1" x14ac:dyDescent="0.25">
      <c r="B28" s="40"/>
      <c r="C28" s="41"/>
      <c r="D28" s="42"/>
      <c r="E28" s="42"/>
      <c r="F28" s="42"/>
      <c r="G28" s="74" t="s">
        <v>19</v>
      </c>
    </row>
    <row r="29" spans="1:10" ht="12.75" customHeight="1" x14ac:dyDescent="0.2"/>
    <row r="30" spans="1:10" x14ac:dyDescent="0.2">
      <c r="B30" s="45"/>
      <c r="C30" s="46"/>
      <c r="D30" s="47"/>
    </row>
    <row r="31" spans="1:10" x14ac:dyDescent="0.2">
      <c r="B31" s="48"/>
    </row>
  </sheetData>
  <sheetProtection algorithmName="SHA-512" hashValue="Fa1B+LgVslePQTBKNirPMFoZuWj4GONgZQcsNeMo3+FS5OrYqtd3yB/ExIRytesIVt+sYnFgjIBdgVLS4BPYvA==" saltValue="8I7jv8Rguq+X+0z/fQTJ/Q==" spinCount="100000" sheet="1" selectLockedCells="1"/>
  <mergeCells count="8">
    <mergeCell ref="B10:G10"/>
    <mergeCell ref="B11:G12"/>
    <mergeCell ref="B13:G13"/>
    <mergeCell ref="I2:J2"/>
    <mergeCell ref="I4:J4"/>
    <mergeCell ref="B6:G7"/>
    <mergeCell ref="B8:G8"/>
    <mergeCell ref="B9:G9"/>
  </mergeCells>
  <pageMargins left="0.75" right="0.75" top="1" bottom="1" header="0.5" footer="0.5"/>
  <pageSetup scale="94" orientation="portrait" r:id="rId1"/>
  <headerFooter alignWithMargins="0">
    <oddFooter>&amp;RPage &amp;P of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Data!$G$2:$G$7</xm:f>
          </x14:formula1>
          <xm:sqref>J13</xm:sqref>
        </x14:dataValidation>
        <x14:dataValidation type="list" allowBlank="1" showInputMessage="1" showErrorMessage="1">
          <x14:formula1>
            <xm:f>Data!$H$2:$H$7</xm:f>
          </x14:formula1>
          <xm:sqref>J14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E24"/>
  <sheetViews>
    <sheetView workbookViewId="0">
      <selection activeCell="D2" sqref="D2"/>
    </sheetView>
  </sheetViews>
  <sheetFormatPr defaultRowHeight="15" x14ac:dyDescent="0.25"/>
  <cols>
    <col min="1" max="1" width="9.140625" style="53"/>
    <col min="2" max="3" width="20.7109375" style="53" customWidth="1"/>
    <col min="4" max="4" width="51.85546875" style="53" bestFit="1" customWidth="1"/>
    <col min="5" max="5" width="50.140625" style="59" customWidth="1"/>
    <col min="6" max="16384" width="9.140625" style="53"/>
  </cols>
  <sheetData>
    <row r="1" spans="1:5" s="54" customFormat="1" ht="18.75" x14ac:dyDescent="0.3">
      <c r="A1" s="57" t="s">
        <v>91</v>
      </c>
      <c r="B1" s="106" t="s">
        <v>72</v>
      </c>
      <c r="C1" s="106"/>
      <c r="D1" s="56" t="s">
        <v>73</v>
      </c>
      <c r="E1" s="58" t="s">
        <v>74</v>
      </c>
    </row>
    <row r="2" spans="1:5" s="54" customFormat="1" ht="18.75" x14ac:dyDescent="0.3">
      <c r="A2" s="104" t="s">
        <v>92</v>
      </c>
      <c r="B2" s="107" t="s">
        <v>70</v>
      </c>
      <c r="C2" s="107"/>
      <c r="D2" s="55" t="s">
        <v>85</v>
      </c>
      <c r="E2" s="108" t="s">
        <v>98</v>
      </c>
    </row>
    <row r="3" spans="1:5" s="54" customFormat="1" ht="25.5" x14ac:dyDescent="0.3">
      <c r="A3" s="104"/>
      <c r="B3" s="107"/>
      <c r="C3" s="107"/>
      <c r="D3" s="55" t="s">
        <v>86</v>
      </c>
      <c r="E3" s="108"/>
    </row>
    <row r="4" spans="1:5" s="54" customFormat="1" ht="18.75" x14ac:dyDescent="0.3">
      <c r="A4" s="104"/>
      <c r="B4" s="107"/>
      <c r="C4" s="107"/>
      <c r="D4" s="55" t="s">
        <v>62</v>
      </c>
      <c r="E4" s="108"/>
    </row>
    <row r="5" spans="1:5" s="54" customFormat="1" ht="25.5" x14ac:dyDescent="0.3">
      <c r="A5" s="104"/>
      <c r="B5" s="107" t="s">
        <v>71</v>
      </c>
      <c r="C5" s="107"/>
      <c r="D5" s="55" t="s">
        <v>87</v>
      </c>
      <c r="E5" s="73" t="s">
        <v>97</v>
      </c>
    </row>
    <row r="6" spans="1:5" s="54" customFormat="1" ht="18.75" x14ac:dyDescent="0.3">
      <c r="A6" s="104"/>
      <c r="B6" s="107"/>
      <c r="C6" s="107"/>
      <c r="D6" s="55" t="s">
        <v>88</v>
      </c>
      <c r="E6" s="73" t="s">
        <v>98</v>
      </c>
    </row>
    <row r="7" spans="1:5" s="54" customFormat="1" ht="18.75" x14ac:dyDescent="0.3">
      <c r="A7" s="104"/>
      <c r="B7" s="107"/>
      <c r="C7" s="107"/>
      <c r="D7" s="55" t="s">
        <v>89</v>
      </c>
      <c r="E7" s="73"/>
    </row>
    <row r="8" spans="1:5" s="54" customFormat="1" ht="18.75" x14ac:dyDescent="0.3">
      <c r="A8" s="104"/>
      <c r="B8" s="107"/>
      <c r="C8" s="107"/>
      <c r="D8" s="55" t="s">
        <v>90</v>
      </c>
      <c r="E8" s="73" t="s">
        <v>110</v>
      </c>
    </row>
    <row r="9" spans="1:5" x14ac:dyDescent="0.25">
      <c r="A9" s="105" t="s">
        <v>93</v>
      </c>
      <c r="B9" s="107" t="s">
        <v>68</v>
      </c>
      <c r="C9" s="107"/>
      <c r="D9" s="55" t="s">
        <v>75</v>
      </c>
      <c r="E9" s="108" t="s">
        <v>84</v>
      </c>
    </row>
    <row r="10" spans="1:5" x14ac:dyDescent="0.25">
      <c r="A10" s="105"/>
      <c r="B10" s="107"/>
      <c r="C10" s="107"/>
      <c r="D10" s="55" t="s">
        <v>77</v>
      </c>
      <c r="E10" s="108"/>
    </row>
    <row r="11" spans="1:5" x14ac:dyDescent="0.25">
      <c r="A11" s="105"/>
      <c r="B11" s="107"/>
      <c r="C11" s="107"/>
      <c r="D11" s="55" t="s">
        <v>78</v>
      </c>
      <c r="E11" s="108"/>
    </row>
    <row r="12" spans="1:5" x14ac:dyDescent="0.25">
      <c r="A12" s="105"/>
      <c r="B12" s="107"/>
      <c r="C12" s="107"/>
      <c r="D12" s="55" t="s">
        <v>76</v>
      </c>
      <c r="E12" s="108"/>
    </row>
    <row r="13" spans="1:5" x14ac:dyDescent="0.25">
      <c r="A13" s="105"/>
      <c r="B13" s="107"/>
      <c r="C13" s="107"/>
      <c r="D13" s="55" t="s">
        <v>79</v>
      </c>
      <c r="E13" s="108"/>
    </row>
    <row r="14" spans="1:5" x14ac:dyDescent="0.25">
      <c r="A14" s="105"/>
      <c r="B14" s="107"/>
      <c r="C14" s="107"/>
      <c r="D14" s="55" t="s">
        <v>80</v>
      </c>
      <c r="E14" s="108"/>
    </row>
    <row r="15" spans="1:5" x14ac:dyDescent="0.25">
      <c r="A15" s="105"/>
      <c r="B15" s="107"/>
      <c r="C15" s="107"/>
      <c r="D15" s="55" t="s">
        <v>81</v>
      </c>
      <c r="E15" s="108"/>
    </row>
    <row r="16" spans="1:5" ht="25.5" x14ac:dyDescent="0.25">
      <c r="A16" s="105"/>
      <c r="B16" s="107"/>
      <c r="C16" s="107"/>
      <c r="D16" s="55" t="s">
        <v>82</v>
      </c>
      <c r="E16" s="108"/>
    </row>
    <row r="17" spans="1:5" x14ac:dyDescent="0.25">
      <c r="A17" s="105"/>
      <c r="B17" s="107"/>
      <c r="C17" s="107"/>
      <c r="D17" s="55" t="s">
        <v>83</v>
      </c>
      <c r="E17" s="108"/>
    </row>
    <row r="18" spans="1:5" ht="38.25" x14ac:dyDescent="0.25">
      <c r="A18" s="105"/>
      <c r="B18" s="109" t="s">
        <v>69</v>
      </c>
      <c r="C18" s="110"/>
      <c r="D18" s="55" t="s">
        <v>131</v>
      </c>
      <c r="E18" s="73" t="s">
        <v>118</v>
      </c>
    </row>
    <row r="19" spans="1:5" ht="38.25" x14ac:dyDescent="0.25">
      <c r="A19" s="105"/>
      <c r="B19" s="111"/>
      <c r="C19" s="112"/>
      <c r="D19" s="55" t="s">
        <v>119</v>
      </c>
      <c r="E19" s="73" t="s">
        <v>125</v>
      </c>
    </row>
    <row r="20" spans="1:5" ht="25.5" x14ac:dyDescent="0.25">
      <c r="A20" s="105"/>
      <c r="B20" s="111"/>
      <c r="C20" s="112"/>
      <c r="D20" s="55" t="s">
        <v>124</v>
      </c>
      <c r="E20" s="73" t="s">
        <v>126</v>
      </c>
    </row>
    <row r="21" spans="1:5" x14ac:dyDescent="0.25">
      <c r="A21" s="105"/>
      <c r="B21" s="111"/>
      <c r="C21" s="112"/>
      <c r="D21" s="55" t="s">
        <v>123</v>
      </c>
      <c r="E21" s="73" t="s">
        <v>127</v>
      </c>
    </row>
    <row r="22" spans="1:5" x14ac:dyDescent="0.25">
      <c r="A22" s="105"/>
      <c r="B22" s="111"/>
      <c r="C22" s="112"/>
      <c r="D22" s="55" t="s">
        <v>122</v>
      </c>
      <c r="E22" s="73" t="s">
        <v>128</v>
      </c>
    </row>
    <row r="23" spans="1:5" x14ac:dyDescent="0.25">
      <c r="A23" s="105"/>
      <c r="B23" s="111"/>
      <c r="C23" s="112"/>
      <c r="D23" s="55" t="s">
        <v>120</v>
      </c>
      <c r="E23" s="73" t="s">
        <v>130</v>
      </c>
    </row>
    <row r="24" spans="1:5" x14ac:dyDescent="0.25">
      <c r="A24" s="105"/>
      <c r="B24" s="113"/>
      <c r="C24" s="114"/>
      <c r="D24" s="55" t="s">
        <v>121</v>
      </c>
      <c r="E24" s="73" t="s">
        <v>129</v>
      </c>
    </row>
  </sheetData>
  <sheetProtection algorithmName="SHA-512" hashValue="uMK+qJMOM/19LHFmQ1Sa3iAW1p+Q61wujRt2KlueEGTcLcn9Aoetu8qSAJOlttCPZi+NTSnmpghEwdfeXumLNg==" saltValue="blziVa3InnrJFz83cuKPDA==" spinCount="100000" sheet="1" selectLockedCells="1"/>
  <mergeCells count="9">
    <mergeCell ref="A2:A8"/>
    <mergeCell ref="A9:A24"/>
    <mergeCell ref="B1:C1"/>
    <mergeCell ref="B9:C17"/>
    <mergeCell ref="E9:E17"/>
    <mergeCell ref="E2:E4"/>
    <mergeCell ref="B2:C4"/>
    <mergeCell ref="B5:C8"/>
    <mergeCell ref="B18:C24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E24"/>
  <sheetViews>
    <sheetView workbookViewId="0">
      <selection activeCell="D2" sqref="D2"/>
    </sheetView>
  </sheetViews>
  <sheetFormatPr defaultRowHeight="15" x14ac:dyDescent="0.25"/>
  <cols>
    <col min="1" max="1" width="9.140625" style="53"/>
    <col min="2" max="3" width="20.7109375" style="53" customWidth="1"/>
    <col min="4" max="4" width="51.85546875" style="53" bestFit="1" customWidth="1"/>
    <col min="5" max="5" width="50.140625" style="59" customWidth="1"/>
    <col min="6" max="16384" width="9.140625" style="53"/>
  </cols>
  <sheetData>
    <row r="1" spans="1:5" s="54" customFormat="1" ht="18.75" x14ac:dyDescent="0.3">
      <c r="A1" s="57" t="s">
        <v>91</v>
      </c>
      <c r="B1" s="106" t="s">
        <v>72</v>
      </c>
      <c r="C1" s="106"/>
      <c r="D1" s="56" t="s">
        <v>73</v>
      </c>
      <c r="E1" s="58" t="s">
        <v>74</v>
      </c>
    </row>
    <row r="2" spans="1:5" s="54" customFormat="1" ht="18.75" x14ac:dyDescent="0.3">
      <c r="A2" s="104" t="s">
        <v>92</v>
      </c>
      <c r="B2" s="107" t="s">
        <v>70</v>
      </c>
      <c r="C2" s="107"/>
      <c r="D2" s="55" t="s">
        <v>85</v>
      </c>
      <c r="E2" s="108" t="s">
        <v>98</v>
      </c>
    </row>
    <row r="3" spans="1:5" s="54" customFormat="1" ht="25.5" x14ac:dyDescent="0.3">
      <c r="A3" s="104"/>
      <c r="B3" s="107"/>
      <c r="C3" s="107"/>
      <c r="D3" s="55" t="s">
        <v>86</v>
      </c>
      <c r="E3" s="108"/>
    </row>
    <row r="4" spans="1:5" s="54" customFormat="1" ht="18.75" x14ac:dyDescent="0.3">
      <c r="A4" s="104"/>
      <c r="B4" s="107"/>
      <c r="C4" s="107"/>
      <c r="D4" s="55" t="s">
        <v>62</v>
      </c>
      <c r="E4" s="108"/>
    </row>
    <row r="5" spans="1:5" s="54" customFormat="1" ht="25.5" x14ac:dyDescent="0.3">
      <c r="A5" s="104"/>
      <c r="B5" s="107" t="s">
        <v>71</v>
      </c>
      <c r="C5" s="107"/>
      <c r="D5" s="55" t="s">
        <v>87</v>
      </c>
      <c r="E5" s="73" t="s">
        <v>97</v>
      </c>
    </row>
    <row r="6" spans="1:5" s="54" customFormat="1" ht="18.75" x14ac:dyDescent="0.3">
      <c r="A6" s="104"/>
      <c r="B6" s="107"/>
      <c r="C6" s="107"/>
      <c r="D6" s="55" t="s">
        <v>88</v>
      </c>
      <c r="E6" s="73" t="s">
        <v>98</v>
      </c>
    </row>
    <row r="7" spans="1:5" s="54" customFormat="1" ht="18.75" x14ac:dyDescent="0.3">
      <c r="A7" s="104"/>
      <c r="B7" s="107"/>
      <c r="C7" s="107"/>
      <c r="D7" s="55" t="s">
        <v>89</v>
      </c>
      <c r="E7" s="73"/>
    </row>
    <row r="8" spans="1:5" s="54" customFormat="1" ht="18.75" x14ac:dyDescent="0.3">
      <c r="A8" s="104"/>
      <c r="B8" s="107"/>
      <c r="C8" s="107"/>
      <c r="D8" s="55" t="s">
        <v>90</v>
      </c>
      <c r="E8" s="73" t="s">
        <v>110</v>
      </c>
    </row>
    <row r="9" spans="1:5" x14ac:dyDescent="0.25">
      <c r="A9" s="105" t="s">
        <v>93</v>
      </c>
      <c r="B9" s="107" t="s">
        <v>68</v>
      </c>
      <c r="C9" s="107"/>
      <c r="D9" s="55" t="s">
        <v>75</v>
      </c>
      <c r="E9" s="108" t="s">
        <v>84</v>
      </c>
    </row>
    <row r="10" spans="1:5" x14ac:dyDescent="0.25">
      <c r="A10" s="105"/>
      <c r="B10" s="107"/>
      <c r="C10" s="107"/>
      <c r="D10" s="55" t="s">
        <v>77</v>
      </c>
      <c r="E10" s="108"/>
    </row>
    <row r="11" spans="1:5" x14ac:dyDescent="0.25">
      <c r="A11" s="105"/>
      <c r="B11" s="107"/>
      <c r="C11" s="107"/>
      <c r="D11" s="55" t="s">
        <v>78</v>
      </c>
      <c r="E11" s="108"/>
    </row>
    <row r="12" spans="1:5" x14ac:dyDescent="0.25">
      <c r="A12" s="105"/>
      <c r="B12" s="107"/>
      <c r="C12" s="107"/>
      <c r="D12" s="55" t="s">
        <v>76</v>
      </c>
      <c r="E12" s="108"/>
    </row>
    <row r="13" spans="1:5" x14ac:dyDescent="0.25">
      <c r="A13" s="105"/>
      <c r="B13" s="107"/>
      <c r="C13" s="107"/>
      <c r="D13" s="55" t="s">
        <v>79</v>
      </c>
      <c r="E13" s="108"/>
    </row>
    <row r="14" spans="1:5" x14ac:dyDescent="0.25">
      <c r="A14" s="105"/>
      <c r="B14" s="107"/>
      <c r="C14" s="107"/>
      <c r="D14" s="55" t="s">
        <v>80</v>
      </c>
      <c r="E14" s="108"/>
    </row>
    <row r="15" spans="1:5" x14ac:dyDescent="0.25">
      <c r="A15" s="105"/>
      <c r="B15" s="107"/>
      <c r="C15" s="107"/>
      <c r="D15" s="55" t="s">
        <v>81</v>
      </c>
      <c r="E15" s="108"/>
    </row>
    <row r="16" spans="1:5" ht="25.5" x14ac:dyDescent="0.25">
      <c r="A16" s="105"/>
      <c r="B16" s="107"/>
      <c r="C16" s="107"/>
      <c r="D16" s="55" t="s">
        <v>82</v>
      </c>
      <c r="E16" s="108"/>
    </row>
    <row r="17" spans="1:5" x14ac:dyDescent="0.25">
      <c r="A17" s="105"/>
      <c r="B17" s="107"/>
      <c r="C17" s="107"/>
      <c r="D17" s="55" t="s">
        <v>83</v>
      </c>
      <c r="E17" s="108"/>
    </row>
    <row r="18" spans="1:5" ht="38.25" x14ac:dyDescent="0.25">
      <c r="A18" s="105"/>
      <c r="B18" s="109" t="s">
        <v>69</v>
      </c>
      <c r="C18" s="110"/>
      <c r="D18" s="55" t="s">
        <v>131</v>
      </c>
      <c r="E18" s="73" t="s">
        <v>118</v>
      </c>
    </row>
    <row r="19" spans="1:5" ht="38.25" x14ac:dyDescent="0.25">
      <c r="A19" s="105"/>
      <c r="B19" s="111"/>
      <c r="C19" s="112"/>
      <c r="D19" s="55" t="s">
        <v>119</v>
      </c>
      <c r="E19" s="73" t="s">
        <v>125</v>
      </c>
    </row>
    <row r="20" spans="1:5" ht="25.5" x14ac:dyDescent="0.25">
      <c r="A20" s="105"/>
      <c r="B20" s="111"/>
      <c r="C20" s="112"/>
      <c r="D20" s="55" t="s">
        <v>124</v>
      </c>
      <c r="E20" s="73" t="s">
        <v>126</v>
      </c>
    </row>
    <row r="21" spans="1:5" x14ac:dyDescent="0.25">
      <c r="A21" s="105"/>
      <c r="B21" s="111"/>
      <c r="C21" s="112"/>
      <c r="D21" s="55" t="s">
        <v>123</v>
      </c>
      <c r="E21" s="73" t="s">
        <v>127</v>
      </c>
    </row>
    <row r="22" spans="1:5" x14ac:dyDescent="0.25">
      <c r="A22" s="105"/>
      <c r="B22" s="111"/>
      <c r="C22" s="112"/>
      <c r="D22" s="55" t="s">
        <v>122</v>
      </c>
      <c r="E22" s="73" t="s">
        <v>128</v>
      </c>
    </row>
    <row r="23" spans="1:5" x14ac:dyDescent="0.25">
      <c r="A23" s="105"/>
      <c r="B23" s="111"/>
      <c r="C23" s="112"/>
      <c r="D23" s="55" t="s">
        <v>120</v>
      </c>
      <c r="E23" s="73" t="s">
        <v>130</v>
      </c>
    </row>
    <row r="24" spans="1:5" x14ac:dyDescent="0.25">
      <c r="A24" s="105"/>
      <c r="B24" s="113"/>
      <c r="C24" s="114"/>
      <c r="D24" s="55" t="s">
        <v>121</v>
      </c>
      <c r="E24" s="73" t="s">
        <v>129</v>
      </c>
    </row>
  </sheetData>
  <sheetProtection algorithmName="SHA-512" hashValue="6iJuvAcrzhYpKkNnl9hPezTOeNzSUfW2+Myv67sY2sGme+KKuu0HC8CqLG5viY6CIPuyZwzqk0YEG5WUlAV17w==" saltValue="AhTdTxBCbkJHYgmpiaUZew==" spinCount="100000" sheet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E24"/>
  <sheetViews>
    <sheetView tabSelected="1" workbookViewId="0">
      <selection activeCell="B1" sqref="B1:C1"/>
    </sheetView>
  </sheetViews>
  <sheetFormatPr defaultRowHeight="15" x14ac:dyDescent="0.25"/>
  <cols>
    <col min="1" max="1" width="9.140625" style="53"/>
    <col min="2" max="3" width="20.7109375" style="53" customWidth="1"/>
    <col min="4" max="4" width="51.85546875" style="53" bestFit="1" customWidth="1"/>
    <col min="5" max="5" width="50.140625" style="59" customWidth="1"/>
    <col min="6" max="16384" width="9.140625" style="53"/>
  </cols>
  <sheetData>
    <row r="1" spans="1:5" s="54" customFormat="1" ht="18.75" x14ac:dyDescent="0.3">
      <c r="A1" s="57" t="s">
        <v>91</v>
      </c>
      <c r="B1" s="106" t="s">
        <v>72</v>
      </c>
      <c r="C1" s="106"/>
      <c r="D1" s="56" t="s">
        <v>73</v>
      </c>
      <c r="E1" s="58" t="s">
        <v>74</v>
      </c>
    </row>
    <row r="2" spans="1:5" s="54" customFormat="1" ht="18.75" x14ac:dyDescent="0.3">
      <c r="A2" s="104" t="s">
        <v>92</v>
      </c>
      <c r="B2" s="107" t="s">
        <v>70</v>
      </c>
      <c r="C2" s="107"/>
      <c r="D2" s="55" t="s">
        <v>85</v>
      </c>
      <c r="E2" s="108" t="s">
        <v>98</v>
      </c>
    </row>
    <row r="3" spans="1:5" s="54" customFormat="1" ht="25.5" x14ac:dyDescent="0.3">
      <c r="A3" s="104"/>
      <c r="B3" s="107"/>
      <c r="C3" s="107"/>
      <c r="D3" s="55" t="s">
        <v>86</v>
      </c>
      <c r="E3" s="108"/>
    </row>
    <row r="4" spans="1:5" s="54" customFormat="1" ht="18.75" x14ac:dyDescent="0.3">
      <c r="A4" s="104"/>
      <c r="B4" s="107"/>
      <c r="C4" s="107"/>
      <c r="D4" s="55" t="s">
        <v>62</v>
      </c>
      <c r="E4" s="108"/>
    </row>
    <row r="5" spans="1:5" s="54" customFormat="1" ht="25.5" x14ac:dyDescent="0.3">
      <c r="A5" s="104"/>
      <c r="B5" s="107" t="s">
        <v>71</v>
      </c>
      <c r="C5" s="107"/>
      <c r="D5" s="55" t="s">
        <v>87</v>
      </c>
      <c r="E5" s="63" t="s">
        <v>97</v>
      </c>
    </row>
    <row r="6" spans="1:5" s="54" customFormat="1" ht="18.75" x14ac:dyDescent="0.3">
      <c r="A6" s="104"/>
      <c r="B6" s="107"/>
      <c r="C6" s="107"/>
      <c r="D6" s="55" t="s">
        <v>88</v>
      </c>
      <c r="E6" s="63" t="s">
        <v>98</v>
      </c>
    </row>
    <row r="7" spans="1:5" s="54" customFormat="1" ht="18.75" x14ac:dyDescent="0.3">
      <c r="A7" s="104"/>
      <c r="B7" s="107"/>
      <c r="C7" s="107"/>
      <c r="D7" s="55" t="s">
        <v>89</v>
      </c>
      <c r="E7" s="63"/>
    </row>
    <row r="8" spans="1:5" s="54" customFormat="1" ht="18.75" x14ac:dyDescent="0.3">
      <c r="A8" s="104"/>
      <c r="B8" s="107"/>
      <c r="C8" s="107"/>
      <c r="D8" s="55" t="s">
        <v>90</v>
      </c>
      <c r="E8" s="63" t="s">
        <v>110</v>
      </c>
    </row>
    <row r="9" spans="1:5" x14ac:dyDescent="0.25">
      <c r="A9" s="105" t="s">
        <v>93</v>
      </c>
      <c r="B9" s="107" t="s">
        <v>68</v>
      </c>
      <c r="C9" s="107"/>
      <c r="D9" s="55" t="s">
        <v>75</v>
      </c>
      <c r="E9" s="108" t="s">
        <v>84</v>
      </c>
    </row>
    <row r="10" spans="1:5" x14ac:dyDescent="0.25">
      <c r="A10" s="105"/>
      <c r="B10" s="107"/>
      <c r="C10" s="107"/>
      <c r="D10" s="55" t="s">
        <v>77</v>
      </c>
      <c r="E10" s="108"/>
    </row>
    <row r="11" spans="1:5" x14ac:dyDescent="0.25">
      <c r="A11" s="105"/>
      <c r="B11" s="107"/>
      <c r="C11" s="107"/>
      <c r="D11" s="55" t="s">
        <v>78</v>
      </c>
      <c r="E11" s="108"/>
    </row>
    <row r="12" spans="1:5" x14ac:dyDescent="0.25">
      <c r="A12" s="105"/>
      <c r="B12" s="107"/>
      <c r="C12" s="107"/>
      <c r="D12" s="55" t="s">
        <v>76</v>
      </c>
      <c r="E12" s="108"/>
    </row>
    <row r="13" spans="1:5" x14ac:dyDescent="0.25">
      <c r="A13" s="105"/>
      <c r="B13" s="107"/>
      <c r="C13" s="107"/>
      <c r="D13" s="55" t="s">
        <v>79</v>
      </c>
      <c r="E13" s="108"/>
    </row>
    <row r="14" spans="1:5" x14ac:dyDescent="0.25">
      <c r="A14" s="105"/>
      <c r="B14" s="107"/>
      <c r="C14" s="107"/>
      <c r="D14" s="55" t="s">
        <v>80</v>
      </c>
      <c r="E14" s="108"/>
    </row>
    <row r="15" spans="1:5" x14ac:dyDescent="0.25">
      <c r="A15" s="105"/>
      <c r="B15" s="107"/>
      <c r="C15" s="107"/>
      <c r="D15" s="55" t="s">
        <v>81</v>
      </c>
      <c r="E15" s="108"/>
    </row>
    <row r="16" spans="1:5" ht="25.5" x14ac:dyDescent="0.25">
      <c r="A16" s="105"/>
      <c r="B16" s="107"/>
      <c r="C16" s="107"/>
      <c r="D16" s="55" t="s">
        <v>82</v>
      </c>
      <c r="E16" s="108"/>
    </row>
    <row r="17" spans="1:5" x14ac:dyDescent="0.25">
      <c r="A17" s="105"/>
      <c r="B17" s="107"/>
      <c r="C17" s="107"/>
      <c r="D17" s="55" t="s">
        <v>83</v>
      </c>
      <c r="E17" s="108"/>
    </row>
    <row r="18" spans="1:5" ht="38.25" x14ac:dyDescent="0.25">
      <c r="A18" s="105"/>
      <c r="B18" s="109" t="s">
        <v>69</v>
      </c>
      <c r="C18" s="110"/>
      <c r="D18" s="55" t="s">
        <v>131</v>
      </c>
      <c r="E18" s="73" t="s">
        <v>118</v>
      </c>
    </row>
    <row r="19" spans="1:5" ht="38.25" x14ac:dyDescent="0.25">
      <c r="A19" s="105"/>
      <c r="B19" s="111"/>
      <c r="C19" s="112"/>
      <c r="D19" s="55" t="s">
        <v>119</v>
      </c>
      <c r="E19" s="73" t="s">
        <v>125</v>
      </c>
    </row>
    <row r="20" spans="1:5" ht="25.5" x14ac:dyDescent="0.25">
      <c r="A20" s="105"/>
      <c r="B20" s="111"/>
      <c r="C20" s="112"/>
      <c r="D20" s="55" t="s">
        <v>124</v>
      </c>
      <c r="E20" s="73" t="s">
        <v>126</v>
      </c>
    </row>
    <row r="21" spans="1:5" x14ac:dyDescent="0.25">
      <c r="A21" s="105"/>
      <c r="B21" s="111"/>
      <c r="C21" s="112"/>
      <c r="D21" s="55" t="s">
        <v>123</v>
      </c>
      <c r="E21" s="73" t="s">
        <v>127</v>
      </c>
    </row>
    <row r="22" spans="1:5" x14ac:dyDescent="0.25">
      <c r="A22" s="105"/>
      <c r="B22" s="111"/>
      <c r="C22" s="112"/>
      <c r="D22" s="55" t="s">
        <v>122</v>
      </c>
      <c r="E22" s="73" t="s">
        <v>128</v>
      </c>
    </row>
    <row r="23" spans="1:5" x14ac:dyDescent="0.25">
      <c r="A23" s="105"/>
      <c r="B23" s="111"/>
      <c r="C23" s="112"/>
      <c r="D23" s="55" t="s">
        <v>120</v>
      </c>
      <c r="E23" s="73" t="s">
        <v>130</v>
      </c>
    </row>
    <row r="24" spans="1:5" x14ac:dyDescent="0.25">
      <c r="A24" s="105"/>
      <c r="B24" s="113"/>
      <c r="C24" s="114"/>
      <c r="D24" s="55" t="s">
        <v>121</v>
      </c>
      <c r="E24" s="73" t="s">
        <v>129</v>
      </c>
    </row>
  </sheetData>
  <sheetProtection algorithmName="SHA-512" hashValue="+Mhkkg+EeHebqApsy5mjouyeZfzY640ednxmTxwv7uK6gkiXK9aRw1fCROr/CgVbSSZ0ABlqpje5FFIODd3Shw==" saltValue="resjKUU22ncWyFL5y0xAVg==" spinCount="100000" sheet="1" objects="1" scenarios="1" selectLockedCells="1"/>
  <mergeCells count="9">
    <mergeCell ref="B18:C24"/>
    <mergeCell ref="B1:C1"/>
    <mergeCell ref="A2:A8"/>
    <mergeCell ref="B2:C4"/>
    <mergeCell ref="E2:E4"/>
    <mergeCell ref="B5:C8"/>
    <mergeCell ref="A9:A24"/>
    <mergeCell ref="B9:C17"/>
    <mergeCell ref="E9:E17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E24"/>
  <sheetViews>
    <sheetView workbookViewId="0">
      <selection activeCell="D24" sqref="D24"/>
    </sheetView>
  </sheetViews>
  <sheetFormatPr defaultRowHeight="15" x14ac:dyDescent="0.25"/>
  <cols>
    <col min="1" max="1" width="9.140625" style="53"/>
    <col min="2" max="3" width="20.7109375" style="53" customWidth="1"/>
    <col min="4" max="4" width="51.85546875" style="53" bestFit="1" customWidth="1"/>
    <col min="5" max="5" width="50.140625" style="59" customWidth="1"/>
    <col min="6" max="16384" width="9.140625" style="53"/>
  </cols>
  <sheetData>
    <row r="1" spans="1:5" s="54" customFormat="1" ht="18.75" x14ac:dyDescent="0.3">
      <c r="A1" s="57" t="s">
        <v>91</v>
      </c>
      <c r="B1" s="106" t="s">
        <v>72</v>
      </c>
      <c r="C1" s="106"/>
      <c r="D1" s="56" t="s">
        <v>73</v>
      </c>
      <c r="E1" s="58" t="s">
        <v>74</v>
      </c>
    </row>
    <row r="2" spans="1:5" s="54" customFormat="1" ht="18.75" x14ac:dyDescent="0.3">
      <c r="A2" s="104" t="s">
        <v>92</v>
      </c>
      <c r="B2" s="107" t="s">
        <v>70</v>
      </c>
      <c r="C2" s="107"/>
      <c r="D2" s="55" t="s">
        <v>85</v>
      </c>
      <c r="E2" s="108" t="s">
        <v>98</v>
      </c>
    </row>
    <row r="3" spans="1:5" s="54" customFormat="1" ht="25.5" x14ac:dyDescent="0.3">
      <c r="A3" s="104"/>
      <c r="B3" s="107"/>
      <c r="C3" s="107"/>
      <c r="D3" s="55" t="s">
        <v>86</v>
      </c>
      <c r="E3" s="108"/>
    </row>
    <row r="4" spans="1:5" s="54" customFormat="1" ht="18.75" x14ac:dyDescent="0.3">
      <c r="A4" s="104"/>
      <c r="B4" s="107"/>
      <c r="C4" s="107"/>
      <c r="D4" s="55" t="s">
        <v>62</v>
      </c>
      <c r="E4" s="108"/>
    </row>
    <row r="5" spans="1:5" s="54" customFormat="1" ht="25.5" x14ac:dyDescent="0.3">
      <c r="A5" s="104"/>
      <c r="B5" s="107" t="s">
        <v>71</v>
      </c>
      <c r="C5" s="107"/>
      <c r="D5" s="55" t="s">
        <v>87</v>
      </c>
      <c r="E5" s="73" t="s">
        <v>97</v>
      </c>
    </row>
    <row r="6" spans="1:5" s="54" customFormat="1" ht="18.75" x14ac:dyDescent="0.3">
      <c r="A6" s="104"/>
      <c r="B6" s="107"/>
      <c r="C6" s="107"/>
      <c r="D6" s="55" t="s">
        <v>88</v>
      </c>
      <c r="E6" s="73" t="s">
        <v>98</v>
      </c>
    </row>
    <row r="7" spans="1:5" s="54" customFormat="1" ht="18.75" x14ac:dyDescent="0.3">
      <c r="A7" s="104"/>
      <c r="B7" s="107"/>
      <c r="C7" s="107"/>
      <c r="D7" s="55" t="s">
        <v>89</v>
      </c>
      <c r="E7" s="73"/>
    </row>
    <row r="8" spans="1:5" s="54" customFormat="1" ht="18.75" x14ac:dyDescent="0.3">
      <c r="A8" s="104"/>
      <c r="B8" s="107"/>
      <c r="C8" s="107"/>
      <c r="D8" s="55" t="s">
        <v>90</v>
      </c>
      <c r="E8" s="73" t="s">
        <v>110</v>
      </c>
    </row>
    <row r="9" spans="1:5" x14ac:dyDescent="0.25">
      <c r="A9" s="105" t="s">
        <v>93</v>
      </c>
      <c r="B9" s="107" t="s">
        <v>68</v>
      </c>
      <c r="C9" s="107"/>
      <c r="D9" s="55" t="s">
        <v>75</v>
      </c>
      <c r="E9" s="108" t="s">
        <v>84</v>
      </c>
    </row>
    <row r="10" spans="1:5" x14ac:dyDescent="0.25">
      <c r="A10" s="105"/>
      <c r="B10" s="107"/>
      <c r="C10" s="107"/>
      <c r="D10" s="55" t="s">
        <v>77</v>
      </c>
      <c r="E10" s="108"/>
    </row>
    <row r="11" spans="1:5" x14ac:dyDescent="0.25">
      <c r="A11" s="105"/>
      <c r="B11" s="107"/>
      <c r="C11" s="107"/>
      <c r="D11" s="55" t="s">
        <v>78</v>
      </c>
      <c r="E11" s="108"/>
    </row>
    <row r="12" spans="1:5" x14ac:dyDescent="0.25">
      <c r="A12" s="105"/>
      <c r="B12" s="107"/>
      <c r="C12" s="107"/>
      <c r="D12" s="55" t="s">
        <v>76</v>
      </c>
      <c r="E12" s="108"/>
    </row>
    <row r="13" spans="1:5" x14ac:dyDescent="0.25">
      <c r="A13" s="105"/>
      <c r="B13" s="107"/>
      <c r="C13" s="107"/>
      <c r="D13" s="55" t="s">
        <v>79</v>
      </c>
      <c r="E13" s="108"/>
    </row>
    <row r="14" spans="1:5" x14ac:dyDescent="0.25">
      <c r="A14" s="105"/>
      <c r="B14" s="107"/>
      <c r="C14" s="107"/>
      <c r="D14" s="55" t="s">
        <v>80</v>
      </c>
      <c r="E14" s="108"/>
    </row>
    <row r="15" spans="1:5" x14ac:dyDescent="0.25">
      <c r="A15" s="105"/>
      <c r="B15" s="107"/>
      <c r="C15" s="107"/>
      <c r="D15" s="55" t="s">
        <v>81</v>
      </c>
      <c r="E15" s="108"/>
    </row>
    <row r="16" spans="1:5" ht="25.5" x14ac:dyDescent="0.25">
      <c r="A16" s="105"/>
      <c r="B16" s="107"/>
      <c r="C16" s="107"/>
      <c r="D16" s="55" t="s">
        <v>82</v>
      </c>
      <c r="E16" s="108"/>
    </row>
    <row r="17" spans="1:5" x14ac:dyDescent="0.25">
      <c r="A17" s="105"/>
      <c r="B17" s="107"/>
      <c r="C17" s="107"/>
      <c r="D17" s="55" t="s">
        <v>83</v>
      </c>
      <c r="E17" s="108"/>
    </row>
    <row r="18" spans="1:5" ht="38.25" x14ac:dyDescent="0.25">
      <c r="A18" s="105"/>
      <c r="B18" s="109" t="s">
        <v>69</v>
      </c>
      <c r="C18" s="110"/>
      <c r="D18" s="55" t="s">
        <v>131</v>
      </c>
      <c r="E18" s="73" t="s">
        <v>118</v>
      </c>
    </row>
    <row r="19" spans="1:5" ht="38.25" x14ac:dyDescent="0.25">
      <c r="A19" s="105"/>
      <c r="B19" s="111"/>
      <c r="C19" s="112"/>
      <c r="D19" s="55" t="s">
        <v>119</v>
      </c>
      <c r="E19" s="73" t="s">
        <v>125</v>
      </c>
    </row>
    <row r="20" spans="1:5" ht="25.5" x14ac:dyDescent="0.25">
      <c r="A20" s="105"/>
      <c r="B20" s="111"/>
      <c r="C20" s="112"/>
      <c r="D20" s="55" t="s">
        <v>124</v>
      </c>
      <c r="E20" s="73" t="s">
        <v>126</v>
      </c>
    </row>
    <row r="21" spans="1:5" x14ac:dyDescent="0.25">
      <c r="A21" s="105"/>
      <c r="B21" s="111"/>
      <c r="C21" s="112"/>
      <c r="D21" s="55" t="s">
        <v>123</v>
      </c>
      <c r="E21" s="73" t="s">
        <v>127</v>
      </c>
    </row>
    <row r="22" spans="1:5" x14ac:dyDescent="0.25">
      <c r="A22" s="105"/>
      <c r="B22" s="111"/>
      <c r="C22" s="112"/>
      <c r="D22" s="55" t="s">
        <v>122</v>
      </c>
      <c r="E22" s="73" t="s">
        <v>128</v>
      </c>
    </row>
    <row r="23" spans="1:5" x14ac:dyDescent="0.25">
      <c r="A23" s="105"/>
      <c r="B23" s="111"/>
      <c r="C23" s="112"/>
      <c r="D23" s="55" t="s">
        <v>120</v>
      </c>
      <c r="E23" s="73" t="s">
        <v>130</v>
      </c>
    </row>
    <row r="24" spans="1:5" x14ac:dyDescent="0.25">
      <c r="A24" s="105"/>
      <c r="B24" s="113"/>
      <c r="C24" s="114"/>
      <c r="D24" s="55" t="s">
        <v>121</v>
      </c>
      <c r="E24" s="73" t="s">
        <v>129</v>
      </c>
    </row>
  </sheetData>
  <sheetProtection sheet="1" objects="1" scenarios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E24"/>
  <sheetViews>
    <sheetView workbookViewId="0">
      <selection activeCell="D21" sqref="D21"/>
    </sheetView>
  </sheetViews>
  <sheetFormatPr defaultRowHeight="15" x14ac:dyDescent="0.25"/>
  <cols>
    <col min="1" max="1" width="9.140625" style="53"/>
    <col min="2" max="3" width="20.7109375" style="53" customWidth="1"/>
    <col min="4" max="4" width="51.85546875" style="53" bestFit="1" customWidth="1"/>
    <col min="5" max="5" width="50.140625" style="59" customWidth="1"/>
    <col min="6" max="16384" width="9.140625" style="53"/>
  </cols>
  <sheetData>
    <row r="1" spans="1:5" s="54" customFormat="1" ht="18.75" x14ac:dyDescent="0.3">
      <c r="A1" s="57" t="s">
        <v>91</v>
      </c>
      <c r="B1" s="106" t="s">
        <v>72</v>
      </c>
      <c r="C1" s="106"/>
      <c r="D1" s="56" t="s">
        <v>73</v>
      </c>
      <c r="E1" s="58" t="s">
        <v>74</v>
      </c>
    </row>
    <row r="2" spans="1:5" s="54" customFormat="1" ht="18.75" x14ac:dyDescent="0.3">
      <c r="A2" s="104" t="s">
        <v>92</v>
      </c>
      <c r="B2" s="107" t="s">
        <v>70</v>
      </c>
      <c r="C2" s="107"/>
      <c r="D2" s="55" t="s">
        <v>85</v>
      </c>
      <c r="E2" s="108" t="s">
        <v>98</v>
      </c>
    </row>
    <row r="3" spans="1:5" s="54" customFormat="1" ht="25.5" x14ac:dyDescent="0.3">
      <c r="A3" s="104"/>
      <c r="B3" s="107"/>
      <c r="C3" s="107"/>
      <c r="D3" s="55" t="s">
        <v>86</v>
      </c>
      <c r="E3" s="108"/>
    </row>
    <row r="4" spans="1:5" s="54" customFormat="1" ht="18.75" x14ac:dyDescent="0.3">
      <c r="A4" s="104"/>
      <c r="B4" s="107"/>
      <c r="C4" s="107"/>
      <c r="D4" s="55" t="s">
        <v>62</v>
      </c>
      <c r="E4" s="108"/>
    </row>
    <row r="5" spans="1:5" s="54" customFormat="1" ht="25.5" x14ac:dyDescent="0.3">
      <c r="A5" s="104"/>
      <c r="B5" s="107" t="s">
        <v>71</v>
      </c>
      <c r="C5" s="107"/>
      <c r="D5" s="55" t="s">
        <v>87</v>
      </c>
      <c r="E5" s="73" t="s">
        <v>97</v>
      </c>
    </row>
    <row r="6" spans="1:5" s="54" customFormat="1" ht="18.75" x14ac:dyDescent="0.3">
      <c r="A6" s="104"/>
      <c r="B6" s="107"/>
      <c r="C6" s="107"/>
      <c r="D6" s="55" t="s">
        <v>88</v>
      </c>
      <c r="E6" s="73" t="s">
        <v>98</v>
      </c>
    </row>
    <row r="7" spans="1:5" s="54" customFormat="1" ht="18.75" x14ac:dyDescent="0.3">
      <c r="A7" s="104"/>
      <c r="B7" s="107"/>
      <c r="C7" s="107"/>
      <c r="D7" s="55" t="s">
        <v>89</v>
      </c>
      <c r="E7" s="73"/>
    </row>
    <row r="8" spans="1:5" s="54" customFormat="1" ht="18.75" x14ac:dyDescent="0.3">
      <c r="A8" s="104"/>
      <c r="B8" s="107"/>
      <c r="C8" s="107"/>
      <c r="D8" s="55" t="s">
        <v>90</v>
      </c>
      <c r="E8" s="73" t="s">
        <v>110</v>
      </c>
    </row>
    <row r="9" spans="1:5" x14ac:dyDescent="0.25">
      <c r="A9" s="105" t="s">
        <v>93</v>
      </c>
      <c r="B9" s="107" t="s">
        <v>68</v>
      </c>
      <c r="C9" s="107"/>
      <c r="D9" s="55" t="s">
        <v>75</v>
      </c>
      <c r="E9" s="108" t="s">
        <v>84</v>
      </c>
    </row>
    <row r="10" spans="1:5" x14ac:dyDescent="0.25">
      <c r="A10" s="105"/>
      <c r="B10" s="107"/>
      <c r="C10" s="107"/>
      <c r="D10" s="55" t="s">
        <v>77</v>
      </c>
      <c r="E10" s="108"/>
    </row>
    <row r="11" spans="1:5" x14ac:dyDescent="0.25">
      <c r="A11" s="105"/>
      <c r="B11" s="107"/>
      <c r="C11" s="107"/>
      <c r="D11" s="55" t="s">
        <v>78</v>
      </c>
      <c r="E11" s="108"/>
    </row>
    <row r="12" spans="1:5" x14ac:dyDescent="0.25">
      <c r="A12" s="105"/>
      <c r="B12" s="107"/>
      <c r="C12" s="107"/>
      <c r="D12" s="55" t="s">
        <v>76</v>
      </c>
      <c r="E12" s="108"/>
    </row>
    <row r="13" spans="1:5" x14ac:dyDescent="0.25">
      <c r="A13" s="105"/>
      <c r="B13" s="107"/>
      <c r="C13" s="107"/>
      <c r="D13" s="55" t="s">
        <v>79</v>
      </c>
      <c r="E13" s="108"/>
    </row>
    <row r="14" spans="1:5" x14ac:dyDescent="0.25">
      <c r="A14" s="105"/>
      <c r="B14" s="107"/>
      <c r="C14" s="107"/>
      <c r="D14" s="55" t="s">
        <v>80</v>
      </c>
      <c r="E14" s="108"/>
    </row>
    <row r="15" spans="1:5" x14ac:dyDescent="0.25">
      <c r="A15" s="105"/>
      <c r="B15" s="107"/>
      <c r="C15" s="107"/>
      <c r="D15" s="55" t="s">
        <v>81</v>
      </c>
      <c r="E15" s="108"/>
    </row>
    <row r="16" spans="1:5" ht="25.5" x14ac:dyDescent="0.25">
      <c r="A16" s="105"/>
      <c r="B16" s="107"/>
      <c r="C16" s="107"/>
      <c r="D16" s="55" t="s">
        <v>82</v>
      </c>
      <c r="E16" s="108"/>
    </row>
    <row r="17" spans="1:5" x14ac:dyDescent="0.25">
      <c r="A17" s="105"/>
      <c r="B17" s="107"/>
      <c r="C17" s="107"/>
      <c r="D17" s="55" t="s">
        <v>83</v>
      </c>
      <c r="E17" s="108"/>
    </row>
    <row r="18" spans="1:5" ht="38.25" x14ac:dyDescent="0.25">
      <c r="A18" s="105"/>
      <c r="B18" s="109" t="s">
        <v>69</v>
      </c>
      <c r="C18" s="110"/>
      <c r="D18" s="55" t="s">
        <v>131</v>
      </c>
      <c r="E18" s="73" t="s">
        <v>118</v>
      </c>
    </row>
    <row r="19" spans="1:5" ht="38.25" x14ac:dyDescent="0.25">
      <c r="A19" s="105"/>
      <c r="B19" s="111"/>
      <c r="C19" s="112"/>
      <c r="D19" s="55" t="s">
        <v>119</v>
      </c>
      <c r="E19" s="73" t="s">
        <v>125</v>
      </c>
    </row>
    <row r="20" spans="1:5" ht="25.5" x14ac:dyDescent="0.25">
      <c r="A20" s="105"/>
      <c r="B20" s="111"/>
      <c r="C20" s="112"/>
      <c r="D20" s="55" t="s">
        <v>124</v>
      </c>
      <c r="E20" s="73" t="s">
        <v>126</v>
      </c>
    </row>
    <row r="21" spans="1:5" x14ac:dyDescent="0.25">
      <c r="A21" s="105"/>
      <c r="B21" s="111"/>
      <c r="C21" s="112"/>
      <c r="D21" s="55" t="s">
        <v>123</v>
      </c>
      <c r="E21" s="73" t="s">
        <v>127</v>
      </c>
    </row>
    <row r="22" spans="1:5" x14ac:dyDescent="0.25">
      <c r="A22" s="105"/>
      <c r="B22" s="111"/>
      <c r="C22" s="112"/>
      <c r="D22" s="55" t="s">
        <v>122</v>
      </c>
      <c r="E22" s="73" t="s">
        <v>128</v>
      </c>
    </row>
    <row r="23" spans="1:5" x14ac:dyDescent="0.25">
      <c r="A23" s="105"/>
      <c r="B23" s="111"/>
      <c r="C23" s="112"/>
      <c r="D23" s="55" t="s">
        <v>120</v>
      </c>
      <c r="E23" s="73" t="s">
        <v>130</v>
      </c>
    </row>
    <row r="24" spans="1:5" x14ac:dyDescent="0.25">
      <c r="A24" s="105"/>
      <c r="B24" s="113"/>
      <c r="C24" s="114"/>
      <c r="D24" s="55" t="s">
        <v>121</v>
      </c>
      <c r="E24" s="73" t="s">
        <v>129</v>
      </c>
    </row>
  </sheetData>
  <sheetProtection algorithmName="SHA-512" hashValue="xwPplnewuNxhbMpt79v4nYzkNlu6BEDxf79M4K05v6XNySP1RC058174wbZxa2N5It1NAiw44+25YQVE9DpPMw==" saltValue="hlC7bG/wTssCKR6MN6xQVg==" spinCount="100000" sheet="1" objects="1" scenarios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E24"/>
  <sheetViews>
    <sheetView workbookViewId="0">
      <selection activeCell="E23" sqref="E23"/>
    </sheetView>
  </sheetViews>
  <sheetFormatPr defaultRowHeight="15" x14ac:dyDescent="0.25"/>
  <cols>
    <col min="1" max="1" width="9.140625" style="53"/>
    <col min="2" max="3" width="20.7109375" style="53" customWidth="1"/>
    <col min="4" max="4" width="51.85546875" style="53" bestFit="1" customWidth="1"/>
    <col min="5" max="5" width="50.140625" style="59" customWidth="1"/>
    <col min="6" max="16384" width="9.140625" style="53"/>
  </cols>
  <sheetData>
    <row r="1" spans="1:5" s="54" customFormat="1" ht="18.75" x14ac:dyDescent="0.3">
      <c r="A1" s="57" t="s">
        <v>91</v>
      </c>
      <c r="B1" s="106" t="s">
        <v>72</v>
      </c>
      <c r="C1" s="106"/>
      <c r="D1" s="56" t="s">
        <v>73</v>
      </c>
      <c r="E1" s="58" t="s">
        <v>74</v>
      </c>
    </row>
    <row r="2" spans="1:5" s="54" customFormat="1" ht="18.75" x14ac:dyDescent="0.3">
      <c r="A2" s="104" t="s">
        <v>92</v>
      </c>
      <c r="B2" s="107" t="s">
        <v>70</v>
      </c>
      <c r="C2" s="107"/>
      <c r="D2" s="55" t="s">
        <v>85</v>
      </c>
      <c r="E2" s="108" t="s">
        <v>98</v>
      </c>
    </row>
    <row r="3" spans="1:5" s="54" customFormat="1" ht="25.5" x14ac:dyDescent="0.3">
      <c r="A3" s="104"/>
      <c r="B3" s="107"/>
      <c r="C3" s="107"/>
      <c r="D3" s="55" t="s">
        <v>86</v>
      </c>
      <c r="E3" s="108"/>
    </row>
    <row r="4" spans="1:5" s="54" customFormat="1" ht="18.75" x14ac:dyDescent="0.3">
      <c r="A4" s="104"/>
      <c r="B4" s="107"/>
      <c r="C4" s="107"/>
      <c r="D4" s="55" t="s">
        <v>62</v>
      </c>
      <c r="E4" s="108"/>
    </row>
    <row r="5" spans="1:5" s="54" customFormat="1" ht="25.5" x14ac:dyDescent="0.3">
      <c r="A5" s="104"/>
      <c r="B5" s="107" t="s">
        <v>71</v>
      </c>
      <c r="C5" s="107"/>
      <c r="D5" s="55" t="s">
        <v>87</v>
      </c>
      <c r="E5" s="73" t="s">
        <v>97</v>
      </c>
    </row>
    <row r="6" spans="1:5" s="54" customFormat="1" ht="18.75" x14ac:dyDescent="0.3">
      <c r="A6" s="104"/>
      <c r="B6" s="107"/>
      <c r="C6" s="107"/>
      <c r="D6" s="55" t="s">
        <v>88</v>
      </c>
      <c r="E6" s="73" t="s">
        <v>98</v>
      </c>
    </row>
    <row r="7" spans="1:5" s="54" customFormat="1" ht="18.75" x14ac:dyDescent="0.3">
      <c r="A7" s="104"/>
      <c r="B7" s="107"/>
      <c r="C7" s="107"/>
      <c r="D7" s="55" t="s">
        <v>89</v>
      </c>
      <c r="E7" s="73"/>
    </row>
    <row r="8" spans="1:5" s="54" customFormat="1" ht="18.75" x14ac:dyDescent="0.3">
      <c r="A8" s="104"/>
      <c r="B8" s="107"/>
      <c r="C8" s="107"/>
      <c r="D8" s="55" t="s">
        <v>90</v>
      </c>
      <c r="E8" s="73" t="s">
        <v>110</v>
      </c>
    </row>
    <row r="9" spans="1:5" x14ac:dyDescent="0.25">
      <c r="A9" s="105" t="s">
        <v>93</v>
      </c>
      <c r="B9" s="107" t="s">
        <v>68</v>
      </c>
      <c r="C9" s="107"/>
      <c r="D9" s="55" t="s">
        <v>75</v>
      </c>
      <c r="E9" s="108" t="s">
        <v>84</v>
      </c>
    </row>
    <row r="10" spans="1:5" x14ac:dyDescent="0.25">
      <c r="A10" s="105"/>
      <c r="B10" s="107"/>
      <c r="C10" s="107"/>
      <c r="D10" s="55" t="s">
        <v>77</v>
      </c>
      <c r="E10" s="108"/>
    </row>
    <row r="11" spans="1:5" x14ac:dyDescent="0.25">
      <c r="A11" s="105"/>
      <c r="B11" s="107"/>
      <c r="C11" s="107"/>
      <c r="D11" s="55" t="s">
        <v>78</v>
      </c>
      <c r="E11" s="108"/>
    </row>
    <row r="12" spans="1:5" x14ac:dyDescent="0.25">
      <c r="A12" s="105"/>
      <c r="B12" s="107"/>
      <c r="C12" s="107"/>
      <c r="D12" s="55" t="s">
        <v>76</v>
      </c>
      <c r="E12" s="108"/>
    </row>
    <row r="13" spans="1:5" x14ac:dyDescent="0.25">
      <c r="A13" s="105"/>
      <c r="B13" s="107"/>
      <c r="C13" s="107"/>
      <c r="D13" s="55" t="s">
        <v>79</v>
      </c>
      <c r="E13" s="108"/>
    </row>
    <row r="14" spans="1:5" x14ac:dyDescent="0.25">
      <c r="A14" s="105"/>
      <c r="B14" s="107"/>
      <c r="C14" s="107"/>
      <c r="D14" s="55" t="s">
        <v>80</v>
      </c>
      <c r="E14" s="108"/>
    </row>
    <row r="15" spans="1:5" x14ac:dyDescent="0.25">
      <c r="A15" s="105"/>
      <c r="B15" s="107"/>
      <c r="C15" s="107"/>
      <c r="D15" s="55" t="s">
        <v>81</v>
      </c>
      <c r="E15" s="108"/>
    </row>
    <row r="16" spans="1:5" ht="25.5" x14ac:dyDescent="0.25">
      <c r="A16" s="105"/>
      <c r="B16" s="107"/>
      <c r="C16" s="107"/>
      <c r="D16" s="55" t="s">
        <v>82</v>
      </c>
      <c r="E16" s="108"/>
    </row>
    <row r="17" spans="1:5" x14ac:dyDescent="0.25">
      <c r="A17" s="105"/>
      <c r="B17" s="107"/>
      <c r="C17" s="107"/>
      <c r="D17" s="55" t="s">
        <v>83</v>
      </c>
      <c r="E17" s="108"/>
    </row>
    <row r="18" spans="1:5" ht="38.25" x14ac:dyDescent="0.25">
      <c r="A18" s="105"/>
      <c r="B18" s="109" t="s">
        <v>69</v>
      </c>
      <c r="C18" s="110"/>
      <c r="D18" s="55" t="s">
        <v>131</v>
      </c>
      <c r="E18" s="73" t="s">
        <v>118</v>
      </c>
    </row>
    <row r="19" spans="1:5" ht="38.25" x14ac:dyDescent="0.25">
      <c r="A19" s="105"/>
      <c r="B19" s="111"/>
      <c r="C19" s="112"/>
      <c r="D19" s="55" t="s">
        <v>119</v>
      </c>
      <c r="E19" s="73" t="s">
        <v>125</v>
      </c>
    </row>
    <row r="20" spans="1:5" ht="25.5" x14ac:dyDescent="0.25">
      <c r="A20" s="105"/>
      <c r="B20" s="111"/>
      <c r="C20" s="112"/>
      <c r="D20" s="55" t="s">
        <v>124</v>
      </c>
      <c r="E20" s="73" t="s">
        <v>126</v>
      </c>
    </row>
    <row r="21" spans="1:5" x14ac:dyDescent="0.25">
      <c r="A21" s="105"/>
      <c r="B21" s="111"/>
      <c r="C21" s="112"/>
      <c r="D21" s="55" t="s">
        <v>123</v>
      </c>
      <c r="E21" s="73" t="s">
        <v>127</v>
      </c>
    </row>
    <row r="22" spans="1:5" x14ac:dyDescent="0.25">
      <c r="A22" s="105"/>
      <c r="B22" s="111"/>
      <c r="C22" s="112"/>
      <c r="D22" s="55" t="s">
        <v>122</v>
      </c>
      <c r="E22" s="73" t="s">
        <v>128</v>
      </c>
    </row>
    <row r="23" spans="1:5" x14ac:dyDescent="0.25">
      <c r="A23" s="105"/>
      <c r="B23" s="111"/>
      <c r="C23" s="112"/>
      <c r="D23" s="55" t="s">
        <v>120</v>
      </c>
      <c r="E23" s="73" t="s">
        <v>130</v>
      </c>
    </row>
    <row r="24" spans="1:5" x14ac:dyDescent="0.25">
      <c r="A24" s="105"/>
      <c r="B24" s="113"/>
      <c r="C24" s="114"/>
      <c r="D24" s="55" t="s">
        <v>121</v>
      </c>
      <c r="E24" s="73" t="s">
        <v>129</v>
      </c>
    </row>
  </sheetData>
  <sheetProtection algorithmName="SHA-512" hashValue="0PfVoKzUWQYl9qosUOW5DlPM6sXEAUrV2yYljWkDxvi+sAWAhia2pNtN8i5WEkr1rn2+VVX8U+Yzs5iuBCOdgA==" saltValue="s67hh1CrELpuD/EefPY8VQ==" spinCount="100000" sheet="1" objects="1" scenarios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C1:L9"/>
  <sheetViews>
    <sheetView workbookViewId="0">
      <selection activeCell="J9" sqref="J9"/>
    </sheetView>
  </sheetViews>
  <sheetFormatPr defaultRowHeight="15" x14ac:dyDescent="0.25"/>
  <cols>
    <col min="1" max="2" width="9.140625" style="11"/>
    <col min="3" max="3" width="5.140625" style="11" bestFit="1" customWidth="1"/>
    <col min="4" max="4" width="11.85546875" style="11" bestFit="1" customWidth="1"/>
    <col min="5" max="5" width="41.5703125" style="11" customWidth="1"/>
    <col min="6" max="6" width="16.85546875" style="11" bestFit="1" customWidth="1"/>
    <col min="7" max="7" width="19.85546875" style="11" bestFit="1" customWidth="1"/>
    <col min="8" max="8" width="19" style="11" bestFit="1" customWidth="1"/>
    <col min="9" max="9" width="17.85546875" style="11" customWidth="1"/>
    <col min="10" max="12" width="35.7109375" style="11" customWidth="1"/>
    <col min="13" max="28" width="9.140625" style="11"/>
    <col min="29" max="29" width="13.5703125" style="11" bestFit="1" customWidth="1"/>
    <col min="30" max="16384" width="9.140625" style="11"/>
  </cols>
  <sheetData>
    <row r="1" spans="3:12" ht="18.75" x14ac:dyDescent="0.3">
      <c r="C1" s="121" t="s">
        <v>21</v>
      </c>
      <c r="D1" s="122"/>
      <c r="E1" s="122"/>
      <c r="F1" s="125" t="s">
        <v>22</v>
      </c>
      <c r="G1" s="126"/>
      <c r="H1" s="126"/>
      <c r="I1" s="127"/>
      <c r="J1" s="117"/>
      <c r="K1" s="117"/>
      <c r="L1" s="118"/>
    </row>
    <row r="2" spans="3:12" ht="19.5" thickBot="1" x14ac:dyDescent="0.3">
      <c r="C2" s="123" t="s">
        <v>23</v>
      </c>
      <c r="D2" s="124"/>
      <c r="E2" s="124"/>
      <c r="F2" s="128">
        <v>1</v>
      </c>
      <c r="G2" s="129"/>
      <c r="H2" s="129"/>
      <c r="I2" s="130"/>
      <c r="J2" s="119"/>
      <c r="K2" s="119"/>
      <c r="L2" s="120"/>
    </row>
    <row r="3" spans="3:12" ht="15.75" thickBot="1" x14ac:dyDescent="0.3">
      <c r="C3" s="115"/>
      <c r="D3" s="116"/>
      <c r="E3" s="116"/>
      <c r="F3" s="116"/>
      <c r="G3" s="116"/>
      <c r="H3" s="116"/>
      <c r="I3" s="116"/>
      <c r="J3" s="131" t="s">
        <v>117</v>
      </c>
      <c r="K3" s="132"/>
      <c r="L3" s="133"/>
    </row>
    <row r="4" spans="3:12" x14ac:dyDescent="0.25">
      <c r="C4" s="68" t="s">
        <v>24</v>
      </c>
      <c r="D4" s="49" t="s">
        <v>25</v>
      </c>
      <c r="E4" s="49" t="s">
        <v>26</v>
      </c>
      <c r="F4" s="49" t="s">
        <v>94</v>
      </c>
      <c r="G4" s="49" t="s">
        <v>95</v>
      </c>
      <c r="H4" s="49" t="s">
        <v>96</v>
      </c>
      <c r="I4" s="49" t="s">
        <v>27</v>
      </c>
      <c r="J4" s="70" t="s">
        <v>65</v>
      </c>
      <c r="K4" s="71" t="s">
        <v>66</v>
      </c>
      <c r="L4" s="72" t="s">
        <v>67</v>
      </c>
    </row>
    <row r="5" spans="3:12" ht="24.95" customHeight="1" x14ac:dyDescent="0.25">
      <c r="C5" s="69">
        <v>1</v>
      </c>
      <c r="D5" s="14" t="s">
        <v>28</v>
      </c>
      <c r="E5" s="14" t="s">
        <v>29</v>
      </c>
      <c r="F5" s="12">
        <f>'Scorecard-Scrum-Evaluation'!D5</f>
        <v>25</v>
      </c>
      <c r="G5" s="12">
        <f>'Scorecard-Tech-Evaluation'!D5</f>
        <v>75</v>
      </c>
      <c r="H5" s="13">
        <f t="shared" ref="H5:H9" si="0">SUM(F5:G5)</f>
        <v>100</v>
      </c>
      <c r="I5" s="13" t="str">
        <f>IF(H5&gt;=75,"Advanced",IF(H5&gt;=50,"Intermediate","Basic"))</f>
        <v>Advanced</v>
      </c>
      <c r="J5" s="77"/>
      <c r="K5" s="77"/>
      <c r="L5" s="78"/>
    </row>
    <row r="6" spans="3:12" ht="24.95" customHeight="1" x14ac:dyDescent="0.25">
      <c r="C6" s="69">
        <v>2</v>
      </c>
      <c r="D6" s="14" t="s">
        <v>30</v>
      </c>
      <c r="E6" s="14" t="s">
        <v>31</v>
      </c>
      <c r="F6" s="12">
        <f>'Scorecard-Scrum-Evaluation'!D6</f>
        <v>25</v>
      </c>
      <c r="G6" s="12">
        <f>'Scorecard-Tech-Evaluation'!D6</f>
        <v>75</v>
      </c>
      <c r="H6" s="13">
        <f t="shared" si="0"/>
        <v>100</v>
      </c>
      <c r="I6" s="13" t="str">
        <f t="shared" ref="I6:I9" si="1">IF(H6&gt;=75,"Advanced",IF(H6&gt;=50,"Intermediate","Basic"))</f>
        <v>Advanced</v>
      </c>
      <c r="J6" s="77"/>
      <c r="K6" s="77"/>
      <c r="L6" s="78"/>
    </row>
    <row r="7" spans="3:12" ht="24.95" customHeight="1" x14ac:dyDescent="0.25">
      <c r="C7" s="69">
        <v>3</v>
      </c>
      <c r="D7" s="14" t="s">
        <v>32</v>
      </c>
      <c r="E7" s="14" t="s">
        <v>33</v>
      </c>
      <c r="F7" s="12">
        <f>'Scorecard-Scrum-Evaluation'!D7</f>
        <v>25</v>
      </c>
      <c r="G7" s="12">
        <f>'Scorecard-Tech-Evaluation'!D7</f>
        <v>75</v>
      </c>
      <c r="H7" s="13">
        <f t="shared" si="0"/>
        <v>100</v>
      </c>
      <c r="I7" s="13" t="str">
        <f t="shared" si="1"/>
        <v>Advanced</v>
      </c>
      <c r="J7" s="77"/>
      <c r="K7" s="77"/>
      <c r="L7" s="78"/>
    </row>
    <row r="8" spans="3:12" ht="24.95" customHeight="1" x14ac:dyDescent="0.25">
      <c r="C8" s="69">
        <v>4</v>
      </c>
      <c r="D8" s="14" t="s">
        <v>34</v>
      </c>
      <c r="E8" s="14" t="s">
        <v>35</v>
      </c>
      <c r="F8" s="12">
        <f>'Scorecard-Scrum-Evaluation'!D8</f>
        <v>25</v>
      </c>
      <c r="G8" s="12">
        <f>'Scorecard-Tech-Evaluation'!D8</f>
        <v>75</v>
      </c>
      <c r="H8" s="13">
        <f t="shared" si="0"/>
        <v>100</v>
      </c>
      <c r="I8" s="13" t="str">
        <f t="shared" si="1"/>
        <v>Advanced</v>
      </c>
      <c r="J8" s="77"/>
      <c r="K8" s="77"/>
      <c r="L8" s="78"/>
    </row>
    <row r="9" spans="3:12" ht="24.95" customHeight="1" thickBot="1" x14ac:dyDescent="0.3">
      <c r="C9" s="69">
        <v>5</v>
      </c>
      <c r="D9" s="14" t="s">
        <v>134</v>
      </c>
      <c r="E9" s="14" t="s">
        <v>135</v>
      </c>
      <c r="F9" s="12">
        <f>'Scorecard-Scrum-Evaluation'!D9</f>
        <v>25</v>
      </c>
      <c r="G9" s="12">
        <f>'Scorecard-Tech-Evaluation'!D9</f>
        <v>75</v>
      </c>
      <c r="H9" s="13">
        <f t="shared" si="0"/>
        <v>100</v>
      </c>
      <c r="I9" s="13" t="str">
        <f t="shared" si="1"/>
        <v>Advanced</v>
      </c>
      <c r="J9" s="79"/>
      <c r="K9" s="79"/>
      <c r="L9" s="80"/>
    </row>
  </sheetData>
  <sheetProtection algorithmName="SHA-512" hashValue="ERn3ZrA0jH632M8yctU+bnmehCFzMKMDDUyzv5YD4KzjdRLFAXVErwp7sjsMmpCAG7Yr69Qmz2WFPGHfAujOpg==" saltValue="iaHJU8sx38mB/DuZ/KmQIQ==" spinCount="100000" sheet="1" selectLockedCells="1"/>
  <mergeCells count="7">
    <mergeCell ref="C3:I3"/>
    <mergeCell ref="J1:L2"/>
    <mergeCell ref="C1:E1"/>
    <mergeCell ref="C2:E2"/>
    <mergeCell ref="F1:I1"/>
    <mergeCell ref="F2:I2"/>
    <mergeCell ref="J3:L3"/>
  </mergeCells>
  <conditionalFormatting sqref="I5:I9">
    <cfRule type="cellIs" dxfId="8" priority="1" operator="equal">
      <formula>"Advanced"</formula>
    </cfRule>
    <cfRule type="cellIs" dxfId="7" priority="2" operator="equal">
      <formula>"Intermediate"</formula>
    </cfRule>
    <cfRule type="cellIs" dxfId="6" priority="3" operator="equal">
      <formula>"Basic"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7"/>
  <sheetViews>
    <sheetView workbookViewId="0">
      <selection activeCell="H12" sqref="H12"/>
    </sheetView>
  </sheetViews>
  <sheetFormatPr defaultRowHeight="15" x14ac:dyDescent="0.25"/>
  <cols>
    <col min="2" max="2" width="13.5703125" bestFit="1" customWidth="1"/>
    <col min="4" max="4" width="24" bestFit="1" customWidth="1"/>
    <col min="8" max="8" width="12.140625" bestFit="1" customWidth="1"/>
  </cols>
  <sheetData>
    <row r="1" spans="2:8" x14ac:dyDescent="0.25">
      <c r="D1" s="1" t="s">
        <v>36</v>
      </c>
      <c r="E1" s="1" t="s">
        <v>37</v>
      </c>
      <c r="G1" t="s">
        <v>38</v>
      </c>
      <c r="H1" t="s">
        <v>39</v>
      </c>
    </row>
    <row r="2" spans="2:8" x14ac:dyDescent="0.25">
      <c r="B2" t="s">
        <v>20</v>
      </c>
      <c r="D2" t="s">
        <v>40</v>
      </c>
      <c r="E2" s="1">
        <v>0</v>
      </c>
      <c r="F2" s="1"/>
      <c r="G2" t="s">
        <v>41</v>
      </c>
      <c r="H2" t="s">
        <v>42</v>
      </c>
    </row>
    <row r="3" spans="2:8" x14ac:dyDescent="0.25">
      <c r="B3" t="s">
        <v>43</v>
      </c>
      <c r="D3" t="s">
        <v>44</v>
      </c>
      <c r="E3" s="1">
        <v>0.25</v>
      </c>
      <c r="G3" t="s">
        <v>6</v>
      </c>
      <c r="H3" t="s">
        <v>8</v>
      </c>
    </row>
    <row r="4" spans="2:8" x14ac:dyDescent="0.25">
      <c r="B4" t="s">
        <v>45</v>
      </c>
      <c r="D4" t="s">
        <v>46</v>
      </c>
      <c r="E4" s="1">
        <v>0.75</v>
      </c>
      <c r="G4" t="s">
        <v>47</v>
      </c>
      <c r="H4" t="s">
        <v>48</v>
      </c>
    </row>
    <row r="5" spans="2:8" x14ac:dyDescent="0.25">
      <c r="B5" t="s">
        <v>49</v>
      </c>
      <c r="D5" t="s">
        <v>50</v>
      </c>
      <c r="E5" s="1">
        <v>1</v>
      </c>
      <c r="G5" t="s">
        <v>51</v>
      </c>
      <c r="H5" t="s">
        <v>52</v>
      </c>
    </row>
    <row r="6" spans="2:8" x14ac:dyDescent="0.25">
      <c r="B6" t="s">
        <v>53</v>
      </c>
      <c r="E6" s="1"/>
      <c r="G6" t="s">
        <v>54</v>
      </c>
      <c r="H6" t="s">
        <v>55</v>
      </c>
    </row>
    <row r="7" spans="2:8" x14ac:dyDescent="0.25">
      <c r="G7" t="s">
        <v>56</v>
      </c>
      <c r="H7" t="s">
        <v>57</v>
      </c>
    </row>
  </sheetData>
  <sheetProtection algorithmName="SHA-512" hashValue="ajEJdLs47NH5IQX7vNSyjvquKiOkXRQB7Wu+w8lrNjFZg2xEGlVJEiWaZ3MLFYdSMEzCspjfxH00C1oWo1CDOg==" saltValue="rrm0dZ2G0+r97f2xMyQIAA==" spinCount="100000" sheet="1" objects="1" scenarios="1" selectLockedCells="1" selectUnlockedCells="1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Q9"/>
  <sheetViews>
    <sheetView workbookViewId="0">
      <pane xSplit="5" ySplit="4" topLeftCell="F5" activePane="bottomRight" state="frozen"/>
      <selection activeCell="J24" sqref="J24"/>
      <selection pane="topRight" activeCell="J24" sqref="J24"/>
      <selection pane="bottomLeft" activeCell="J24" sqref="J24"/>
      <selection pane="bottomRight" activeCell="D9" sqref="D9"/>
    </sheetView>
  </sheetViews>
  <sheetFormatPr defaultRowHeight="15" x14ac:dyDescent="0.25"/>
  <cols>
    <col min="1" max="1" width="7.28515625" style="3" bestFit="1" customWidth="1"/>
    <col min="2" max="2" width="11.7109375" style="3" customWidth="1"/>
    <col min="3" max="3" width="17.85546875" style="3" bestFit="1" customWidth="1"/>
    <col min="4" max="4" width="12.7109375" style="3" bestFit="1" customWidth="1"/>
    <col min="5" max="5" width="15.28515625" style="3" customWidth="1"/>
    <col min="6" max="6" width="14.7109375" style="3" customWidth="1"/>
    <col min="7" max="7" width="4.5703125" style="3" hidden="1" customWidth="1"/>
    <col min="8" max="8" width="14.7109375" style="3" customWidth="1"/>
    <col min="9" max="9" width="4.5703125" style="3" hidden="1" customWidth="1"/>
    <col min="10" max="10" width="14.7109375" style="3" customWidth="1"/>
    <col min="11" max="11" width="4.5703125" style="3" hidden="1" customWidth="1"/>
    <col min="12" max="12" width="14.7109375" style="3" customWidth="1"/>
    <col min="13" max="13" width="4.5703125" style="3" hidden="1" customWidth="1"/>
    <col min="14" max="14" width="14.7109375" style="3" customWidth="1"/>
    <col min="15" max="15" width="4.5703125" style="3" hidden="1" customWidth="1"/>
    <col min="16" max="16" width="14.7109375" style="3" customWidth="1"/>
    <col min="17" max="17" width="4.5703125" style="3" hidden="1" customWidth="1"/>
    <col min="18" max="16384" width="9.140625" style="3"/>
  </cols>
  <sheetData>
    <row r="1" spans="1:17" s="2" customFormat="1" ht="23.25" x14ac:dyDescent="0.35">
      <c r="A1" s="140" t="s">
        <v>21</v>
      </c>
      <c r="B1" s="140"/>
      <c r="C1" s="140"/>
      <c r="D1" s="141" t="s">
        <v>59</v>
      </c>
      <c r="E1" s="142"/>
    </row>
    <row r="2" spans="1:17" s="2" customFormat="1" ht="23.25" x14ac:dyDescent="0.35">
      <c r="A2" s="140" t="s">
        <v>23</v>
      </c>
      <c r="B2" s="140"/>
      <c r="C2" s="140"/>
      <c r="D2" s="143">
        <v>0.25</v>
      </c>
      <c r="E2" s="144"/>
      <c r="F2" s="136" t="s">
        <v>65</v>
      </c>
      <c r="G2" s="136"/>
      <c r="H2" s="136"/>
      <c r="I2" s="136"/>
      <c r="J2" s="137" t="s">
        <v>66</v>
      </c>
      <c r="K2" s="137"/>
      <c r="L2" s="137"/>
      <c r="M2" s="137"/>
      <c r="N2" s="139" t="s">
        <v>67</v>
      </c>
      <c r="O2" s="139"/>
      <c r="P2" s="139"/>
      <c r="Q2" s="139"/>
    </row>
    <row r="3" spans="1:17" ht="36.75" customHeight="1" x14ac:dyDescent="0.25">
      <c r="A3" s="51" t="s">
        <v>60</v>
      </c>
      <c r="B3" s="52" t="s">
        <v>25</v>
      </c>
      <c r="C3" s="51" t="s">
        <v>26</v>
      </c>
      <c r="D3" s="51" t="s">
        <v>58</v>
      </c>
      <c r="E3" s="51" t="s">
        <v>61</v>
      </c>
      <c r="F3" s="138" t="s">
        <v>70</v>
      </c>
      <c r="G3" s="138"/>
      <c r="H3" s="138" t="s">
        <v>71</v>
      </c>
      <c r="I3" s="138"/>
      <c r="J3" s="138" t="s">
        <v>70</v>
      </c>
      <c r="K3" s="138"/>
      <c r="L3" s="138" t="s">
        <v>71</v>
      </c>
      <c r="M3" s="138"/>
      <c r="N3" s="138" t="s">
        <v>70</v>
      </c>
      <c r="O3" s="138"/>
      <c r="P3" s="138" t="s">
        <v>71</v>
      </c>
      <c r="Q3" s="138"/>
    </row>
    <row r="4" spans="1:17" s="4" customFormat="1" x14ac:dyDescent="0.25">
      <c r="A4" s="134" t="s">
        <v>63</v>
      </c>
      <c r="B4" s="134"/>
      <c r="C4" s="134"/>
      <c r="D4" s="134"/>
      <c r="E4" s="5">
        <f>SUM(F4:Q4)</f>
        <v>0.25</v>
      </c>
      <c r="F4" s="135">
        <v>0.03</v>
      </c>
      <c r="G4" s="135"/>
      <c r="H4" s="135">
        <v>0.05</v>
      </c>
      <c r="I4" s="135"/>
      <c r="J4" s="135">
        <v>0.03</v>
      </c>
      <c r="K4" s="135"/>
      <c r="L4" s="135">
        <v>0.05</v>
      </c>
      <c r="M4" s="135"/>
      <c r="N4" s="135">
        <v>0.03</v>
      </c>
      <c r="O4" s="135"/>
      <c r="P4" s="135">
        <v>0.06</v>
      </c>
      <c r="Q4" s="135"/>
    </row>
    <row r="5" spans="1:17" x14ac:dyDescent="0.25">
      <c r="A5" s="6">
        <v>1</v>
      </c>
      <c r="B5" s="7" t="str">
        <f>'Scorecard-Summary'!D5</f>
        <v>Associate 1</v>
      </c>
      <c r="C5" s="7" t="str">
        <f>'Scorecard-Summary'!E5</f>
        <v>Associate Name 1</v>
      </c>
      <c r="D5" s="10">
        <f>SUM(G5,I5,K5,M5,O5,Q5)</f>
        <v>25</v>
      </c>
      <c r="E5" s="8" t="str">
        <f>IF(D5&gt;=15,"Advanced",IF(D5&gt;=8,"Intermediate","Basic"))</f>
        <v>Advanced</v>
      </c>
      <c r="F5" s="83">
        <v>100</v>
      </c>
      <c r="G5" s="84">
        <f>F5*F4</f>
        <v>3</v>
      </c>
      <c r="H5" s="83">
        <v>100</v>
      </c>
      <c r="I5" s="84">
        <f>H5*H4</f>
        <v>5</v>
      </c>
      <c r="J5" s="83">
        <v>100</v>
      </c>
      <c r="K5" s="84">
        <f>J5*J4</f>
        <v>3</v>
      </c>
      <c r="L5" s="83">
        <v>100</v>
      </c>
      <c r="M5" s="84">
        <f>L5*L4</f>
        <v>5</v>
      </c>
      <c r="N5" s="83">
        <v>100</v>
      </c>
      <c r="O5" s="84">
        <f>N5*N4</f>
        <v>3</v>
      </c>
      <c r="P5" s="83">
        <v>100</v>
      </c>
      <c r="Q5" s="9">
        <f>P5*P4</f>
        <v>6</v>
      </c>
    </row>
    <row r="6" spans="1:17" x14ac:dyDescent="0.25">
      <c r="A6" s="6">
        <v>2</v>
      </c>
      <c r="B6" s="7" t="str">
        <f>'Scorecard-Summary'!D6</f>
        <v>Associate 2</v>
      </c>
      <c r="C6" s="7" t="str">
        <f>'Scorecard-Summary'!E6</f>
        <v>Associate Name 2</v>
      </c>
      <c r="D6" s="10">
        <f t="shared" ref="D6:D9" si="0">SUM(G6,I6,K6,M6,O6,Q6)</f>
        <v>25</v>
      </c>
      <c r="E6" s="8" t="str">
        <f t="shared" ref="E6:E9" si="1">IF(D6&gt;=15,"Advanced",IF(D6&gt;=8,"Intermediate","Basic"))</f>
        <v>Advanced</v>
      </c>
      <c r="F6" s="83">
        <v>100</v>
      </c>
      <c r="G6" s="84">
        <f>F6*F4</f>
        <v>3</v>
      </c>
      <c r="H6" s="83">
        <v>100</v>
      </c>
      <c r="I6" s="84">
        <f>H6*H4</f>
        <v>5</v>
      </c>
      <c r="J6" s="83">
        <v>100</v>
      </c>
      <c r="K6" s="84">
        <f>J6*J4</f>
        <v>3</v>
      </c>
      <c r="L6" s="83">
        <v>100</v>
      </c>
      <c r="M6" s="84">
        <f>L6*L4</f>
        <v>5</v>
      </c>
      <c r="N6" s="83">
        <v>100</v>
      </c>
      <c r="O6" s="84">
        <f>N6*N4</f>
        <v>3</v>
      </c>
      <c r="P6" s="83">
        <v>100</v>
      </c>
      <c r="Q6" s="9">
        <f>P6*P4</f>
        <v>6</v>
      </c>
    </row>
    <row r="7" spans="1:17" x14ac:dyDescent="0.25">
      <c r="A7" s="6">
        <v>3</v>
      </c>
      <c r="B7" s="7" t="str">
        <f>'Scorecard-Summary'!D7</f>
        <v>Associate 3</v>
      </c>
      <c r="C7" s="7" t="str">
        <f>'Scorecard-Summary'!E7</f>
        <v>Associate Name 3</v>
      </c>
      <c r="D7" s="10">
        <f t="shared" si="0"/>
        <v>25</v>
      </c>
      <c r="E7" s="8" t="str">
        <f t="shared" si="1"/>
        <v>Advanced</v>
      </c>
      <c r="F7" s="83">
        <v>100</v>
      </c>
      <c r="G7" s="84">
        <f>F7*F4</f>
        <v>3</v>
      </c>
      <c r="H7" s="83">
        <v>100</v>
      </c>
      <c r="I7" s="84">
        <f>H7*H4</f>
        <v>5</v>
      </c>
      <c r="J7" s="83">
        <v>100</v>
      </c>
      <c r="K7" s="84">
        <f>J7*J4</f>
        <v>3</v>
      </c>
      <c r="L7" s="83">
        <v>100</v>
      </c>
      <c r="M7" s="84">
        <f>L7*L4</f>
        <v>5</v>
      </c>
      <c r="N7" s="83">
        <v>100</v>
      </c>
      <c r="O7" s="84">
        <f>N7*N4</f>
        <v>3</v>
      </c>
      <c r="P7" s="83">
        <v>100</v>
      </c>
      <c r="Q7" s="9">
        <f>P7*P4</f>
        <v>6</v>
      </c>
    </row>
    <row r="8" spans="1:17" x14ac:dyDescent="0.25">
      <c r="A8" s="6">
        <v>4</v>
      </c>
      <c r="B8" s="7" t="str">
        <f>'Scorecard-Summary'!D8</f>
        <v>Associate 4</v>
      </c>
      <c r="C8" s="7" t="str">
        <f>'Scorecard-Summary'!E8</f>
        <v>Associate Name 4</v>
      </c>
      <c r="D8" s="10">
        <f t="shared" si="0"/>
        <v>25</v>
      </c>
      <c r="E8" s="8" t="str">
        <f t="shared" si="1"/>
        <v>Advanced</v>
      </c>
      <c r="F8" s="83">
        <v>100</v>
      </c>
      <c r="G8" s="84">
        <f>F8*F4</f>
        <v>3</v>
      </c>
      <c r="H8" s="83">
        <v>100</v>
      </c>
      <c r="I8" s="84">
        <f>H8*H4</f>
        <v>5</v>
      </c>
      <c r="J8" s="83">
        <v>100</v>
      </c>
      <c r="K8" s="84">
        <f>J8*J4</f>
        <v>3</v>
      </c>
      <c r="L8" s="83">
        <v>100</v>
      </c>
      <c r="M8" s="84">
        <f>L8*L4</f>
        <v>5</v>
      </c>
      <c r="N8" s="83">
        <v>100</v>
      </c>
      <c r="O8" s="84">
        <f>N8*N4</f>
        <v>3</v>
      </c>
      <c r="P8" s="83">
        <v>100</v>
      </c>
      <c r="Q8" s="9">
        <f>P8*P4</f>
        <v>6</v>
      </c>
    </row>
    <row r="9" spans="1:17" x14ac:dyDescent="0.25">
      <c r="A9" s="6">
        <v>5</v>
      </c>
      <c r="B9" s="7" t="str">
        <f>'Scorecard-Summary'!D9</f>
        <v>Associate 5</v>
      </c>
      <c r="C9" s="7" t="str">
        <f>'Scorecard-Summary'!E9</f>
        <v>Associate Name 5</v>
      </c>
      <c r="D9" s="10">
        <f t="shared" si="0"/>
        <v>25</v>
      </c>
      <c r="E9" s="8" t="str">
        <f t="shared" si="1"/>
        <v>Advanced</v>
      </c>
      <c r="F9" s="83">
        <v>100</v>
      </c>
      <c r="G9" s="84">
        <f>F9*F4</f>
        <v>3</v>
      </c>
      <c r="H9" s="83">
        <v>100</v>
      </c>
      <c r="I9" s="84">
        <f>H9*H4</f>
        <v>5</v>
      </c>
      <c r="J9" s="83">
        <v>100</v>
      </c>
      <c r="K9" s="84">
        <f>J9*J4</f>
        <v>3</v>
      </c>
      <c r="L9" s="83">
        <v>100</v>
      </c>
      <c r="M9" s="84">
        <f>L9*L4</f>
        <v>5</v>
      </c>
      <c r="N9" s="83">
        <v>100</v>
      </c>
      <c r="O9" s="84">
        <f>N9*N4</f>
        <v>3</v>
      </c>
      <c r="P9" s="83">
        <v>100</v>
      </c>
      <c r="Q9" s="9">
        <f>P9*P4</f>
        <v>6</v>
      </c>
    </row>
  </sheetData>
  <sheetProtection selectLockedCells="1"/>
  <mergeCells count="20">
    <mergeCell ref="N2:Q2"/>
    <mergeCell ref="N3:O3"/>
    <mergeCell ref="P3:Q3"/>
    <mergeCell ref="A1:C1"/>
    <mergeCell ref="D1:E1"/>
    <mergeCell ref="A2:C2"/>
    <mergeCell ref="D2:E2"/>
    <mergeCell ref="P4:Q4"/>
    <mergeCell ref="L4:M4"/>
    <mergeCell ref="N4:O4"/>
    <mergeCell ref="F3:G3"/>
    <mergeCell ref="H3:I3"/>
    <mergeCell ref="J4:K4"/>
    <mergeCell ref="H4:I4"/>
    <mergeCell ref="L3:M3"/>
    <mergeCell ref="A4:D4"/>
    <mergeCell ref="F4:G4"/>
    <mergeCell ref="F2:I2"/>
    <mergeCell ref="J2:M2"/>
    <mergeCell ref="J3:K3"/>
  </mergeCells>
  <conditionalFormatting sqref="E5:E9">
    <cfRule type="cellIs" dxfId="5" priority="7" operator="equal">
      <formula>"Basic"</formula>
    </cfRule>
    <cfRule type="cellIs" dxfId="4" priority="8" operator="equal">
      <formula>"Intermediate"</formula>
    </cfRule>
    <cfRule type="cellIs" dxfId="3" priority="9" operator="equal">
      <formula>"Advanced"</formula>
    </cfRule>
  </conditionalFormatting>
  <dataValidations count="1">
    <dataValidation type="whole" allowBlank="1" showErrorMessage="1" errorTitle="Invalid Data" error="This cell allow only whole numbers from 0 to 100." sqref="H5:H9 F5:F9 L5:L9 J5:J9 P5:P9 N5:N9">
      <formula1>0</formula1>
      <formula2>100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4" r:id="rId4" name="cmdGotoReadMe">
          <controlPr defaultSize="0" autoLine="0" autoPict="0" r:id="rId5">
            <anchor moveWithCells="1">
              <from>
                <xdr:col>17</xdr:col>
                <xdr:colOff>590550</xdr:colOff>
                <xdr:row>0</xdr:row>
                <xdr:rowOff>247650</xdr:rowOff>
              </from>
              <to>
                <xdr:col>21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3074" r:id="rId4" name="cmdGotoReadM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7030A0"/>
  </sheetPr>
  <dimension ref="A1:Q9"/>
  <sheetViews>
    <sheetView workbookViewId="0">
      <pane xSplit="5" ySplit="4" topLeftCell="F5" activePane="bottomRight" state="frozen"/>
      <selection activeCell="J24" sqref="J24"/>
      <selection pane="topRight" activeCell="J24" sqref="J24"/>
      <selection pane="bottomLeft" activeCell="J24" sqref="J24"/>
      <selection pane="bottomRight" activeCell="F5" sqref="F5"/>
    </sheetView>
  </sheetViews>
  <sheetFormatPr defaultRowHeight="15" x14ac:dyDescent="0.25"/>
  <cols>
    <col min="1" max="1" width="7.28515625" style="3" bestFit="1" customWidth="1"/>
    <col min="2" max="2" width="11.7109375" style="3" customWidth="1"/>
    <col min="3" max="3" width="17.85546875" style="3" bestFit="1" customWidth="1"/>
    <col min="4" max="4" width="12.7109375" style="3" bestFit="1" customWidth="1"/>
    <col min="5" max="5" width="15.28515625" style="3" customWidth="1"/>
    <col min="6" max="6" width="14.7109375" style="3" customWidth="1"/>
    <col min="7" max="7" width="4.5703125" style="3" hidden="1" customWidth="1"/>
    <col min="8" max="8" width="14.7109375" style="3" customWidth="1"/>
    <col min="9" max="9" width="4.5703125" style="3" hidden="1" customWidth="1"/>
    <col min="10" max="10" width="14.7109375" style="3" customWidth="1"/>
    <col min="11" max="11" width="4.5703125" style="3" hidden="1" customWidth="1"/>
    <col min="12" max="12" width="14.7109375" style="3" customWidth="1"/>
    <col min="13" max="13" width="4.5703125" style="3" hidden="1" customWidth="1"/>
    <col min="14" max="14" width="14.7109375" style="3" customWidth="1"/>
    <col min="15" max="15" width="4.5703125" style="3" hidden="1" customWidth="1"/>
    <col min="16" max="16" width="14.7109375" style="3" customWidth="1"/>
    <col min="17" max="17" width="4.5703125" style="3" hidden="1" customWidth="1"/>
    <col min="18" max="16384" width="9.140625" style="3"/>
  </cols>
  <sheetData>
    <row r="1" spans="1:17" s="2" customFormat="1" ht="23.25" x14ac:dyDescent="0.35">
      <c r="A1" s="140" t="s">
        <v>21</v>
      </c>
      <c r="B1" s="140"/>
      <c r="C1" s="140"/>
      <c r="D1" s="141" t="s">
        <v>64</v>
      </c>
      <c r="E1" s="142"/>
    </row>
    <row r="2" spans="1:17" s="2" customFormat="1" ht="23.25" x14ac:dyDescent="0.35">
      <c r="A2" s="140" t="s">
        <v>23</v>
      </c>
      <c r="B2" s="140"/>
      <c r="C2" s="140"/>
      <c r="D2" s="143">
        <v>0.75</v>
      </c>
      <c r="E2" s="144"/>
      <c r="F2" s="136" t="s">
        <v>65</v>
      </c>
      <c r="G2" s="136"/>
      <c r="H2" s="136"/>
      <c r="I2" s="136"/>
      <c r="J2" s="137" t="s">
        <v>66</v>
      </c>
      <c r="K2" s="137"/>
      <c r="L2" s="137"/>
      <c r="M2" s="137"/>
      <c r="N2" s="139" t="s">
        <v>67</v>
      </c>
      <c r="O2" s="139"/>
      <c r="P2" s="139"/>
      <c r="Q2" s="139"/>
    </row>
    <row r="3" spans="1:17" ht="38.25" customHeight="1" x14ac:dyDescent="0.25">
      <c r="A3" s="51" t="s">
        <v>60</v>
      </c>
      <c r="B3" s="52" t="s">
        <v>25</v>
      </c>
      <c r="C3" s="51" t="s">
        <v>26</v>
      </c>
      <c r="D3" s="51" t="s">
        <v>58</v>
      </c>
      <c r="E3" s="51" t="s">
        <v>61</v>
      </c>
      <c r="F3" s="138" t="s">
        <v>68</v>
      </c>
      <c r="G3" s="138"/>
      <c r="H3" s="138" t="s">
        <v>69</v>
      </c>
      <c r="I3" s="138"/>
      <c r="J3" s="138" t="s">
        <v>68</v>
      </c>
      <c r="K3" s="138"/>
      <c r="L3" s="138" t="s">
        <v>69</v>
      </c>
      <c r="M3" s="138"/>
      <c r="N3" s="138" t="s">
        <v>68</v>
      </c>
      <c r="O3" s="138"/>
      <c r="P3" s="138" t="s">
        <v>69</v>
      </c>
      <c r="Q3" s="138"/>
    </row>
    <row r="4" spans="1:17" s="4" customFormat="1" x14ac:dyDescent="0.25">
      <c r="A4" s="134" t="s">
        <v>63</v>
      </c>
      <c r="B4" s="134"/>
      <c r="C4" s="134"/>
      <c r="D4" s="134"/>
      <c r="E4" s="5">
        <f>SUM(F4:Q4)</f>
        <v>0.75</v>
      </c>
      <c r="F4" s="135">
        <v>0.15</v>
      </c>
      <c r="G4" s="135"/>
      <c r="H4" s="135">
        <v>0.1</v>
      </c>
      <c r="I4" s="135"/>
      <c r="J4" s="135">
        <v>0.15</v>
      </c>
      <c r="K4" s="135"/>
      <c r="L4" s="135">
        <v>0.1</v>
      </c>
      <c r="M4" s="135"/>
      <c r="N4" s="135">
        <v>0.15</v>
      </c>
      <c r="O4" s="135"/>
      <c r="P4" s="135">
        <v>0.1</v>
      </c>
      <c r="Q4" s="135"/>
    </row>
    <row r="5" spans="1:17" x14ac:dyDescent="0.25">
      <c r="A5" s="6">
        <v>1</v>
      </c>
      <c r="B5" s="7" t="str">
        <f>'Scorecard-Summary'!D5</f>
        <v>Associate 1</v>
      </c>
      <c r="C5" s="7" t="str">
        <f>'Scorecard-Summary'!E5</f>
        <v>Associate Name 1</v>
      </c>
      <c r="D5" s="10">
        <f>SUM(G5,I5,K5,M5,O5,Q5)</f>
        <v>75</v>
      </c>
      <c r="E5" s="8" t="str">
        <f>IF(D5&gt;=40,"Advanced",IF(D5&gt;=25,"Intermediate","Basic"))</f>
        <v>Advanced</v>
      </c>
      <c r="F5" s="83">
        <v>100</v>
      </c>
      <c r="G5" s="84">
        <f>F5*F4</f>
        <v>15</v>
      </c>
      <c r="H5" s="83">
        <v>100</v>
      </c>
      <c r="I5" s="84">
        <f>H5*H4</f>
        <v>10</v>
      </c>
      <c r="J5" s="83">
        <v>100</v>
      </c>
      <c r="K5" s="84">
        <f>J5*J4</f>
        <v>15</v>
      </c>
      <c r="L5" s="83">
        <v>100</v>
      </c>
      <c r="M5" s="84">
        <f>L5*L4</f>
        <v>10</v>
      </c>
      <c r="N5" s="83">
        <v>100</v>
      </c>
      <c r="O5" s="84">
        <f>N5*N4</f>
        <v>15</v>
      </c>
      <c r="P5" s="83">
        <v>100</v>
      </c>
      <c r="Q5" s="9">
        <f>P5*P4</f>
        <v>10</v>
      </c>
    </row>
    <row r="6" spans="1:17" x14ac:dyDescent="0.25">
      <c r="A6" s="6">
        <v>2</v>
      </c>
      <c r="B6" s="7" t="str">
        <f>'Scorecard-Summary'!D6</f>
        <v>Associate 2</v>
      </c>
      <c r="C6" s="7" t="str">
        <f>'Scorecard-Summary'!E6</f>
        <v>Associate Name 2</v>
      </c>
      <c r="D6" s="10">
        <f t="shared" ref="D6:D9" si="0">SUM(G6,I6,K6,M6,O6,Q6)</f>
        <v>75</v>
      </c>
      <c r="E6" s="8" t="str">
        <f t="shared" ref="E6:E9" si="1">IF(D6&gt;=40,"Advanced",IF(D6&gt;=25,"Intermediate","Basic"))</f>
        <v>Advanced</v>
      </c>
      <c r="F6" s="83">
        <v>100</v>
      </c>
      <c r="G6" s="84">
        <f>F6*F4</f>
        <v>15</v>
      </c>
      <c r="H6" s="83">
        <v>100</v>
      </c>
      <c r="I6" s="84">
        <f>H6*H4</f>
        <v>10</v>
      </c>
      <c r="J6" s="83">
        <v>100</v>
      </c>
      <c r="K6" s="84">
        <f>J6*J4</f>
        <v>15</v>
      </c>
      <c r="L6" s="83">
        <v>100</v>
      </c>
      <c r="M6" s="84">
        <f>L6*L4</f>
        <v>10</v>
      </c>
      <c r="N6" s="83">
        <v>100</v>
      </c>
      <c r="O6" s="84">
        <f>N6*N4</f>
        <v>15</v>
      </c>
      <c r="P6" s="83">
        <v>100</v>
      </c>
      <c r="Q6" s="9">
        <f>P6*P4</f>
        <v>10</v>
      </c>
    </row>
    <row r="7" spans="1:17" x14ac:dyDescent="0.25">
      <c r="A7" s="6">
        <v>3</v>
      </c>
      <c r="B7" s="7" t="str">
        <f>'Scorecard-Summary'!D7</f>
        <v>Associate 3</v>
      </c>
      <c r="C7" s="7" t="str">
        <f>'Scorecard-Summary'!E8</f>
        <v>Associate Name 4</v>
      </c>
      <c r="D7" s="10">
        <f t="shared" si="0"/>
        <v>75</v>
      </c>
      <c r="E7" s="8" t="str">
        <f t="shared" si="1"/>
        <v>Advanced</v>
      </c>
      <c r="F7" s="83">
        <v>100</v>
      </c>
      <c r="G7" s="84">
        <f>F7*F4</f>
        <v>15</v>
      </c>
      <c r="H7" s="83">
        <v>100</v>
      </c>
      <c r="I7" s="84">
        <f>H7*H4</f>
        <v>10</v>
      </c>
      <c r="J7" s="83">
        <v>100</v>
      </c>
      <c r="K7" s="84">
        <f>J7*J4</f>
        <v>15</v>
      </c>
      <c r="L7" s="83">
        <v>100</v>
      </c>
      <c r="M7" s="84">
        <f>L7*L4</f>
        <v>10</v>
      </c>
      <c r="N7" s="83">
        <v>100</v>
      </c>
      <c r="O7" s="84">
        <f>N7*N4</f>
        <v>15</v>
      </c>
      <c r="P7" s="83">
        <v>100</v>
      </c>
      <c r="Q7" s="9">
        <f>P7*P4</f>
        <v>10</v>
      </c>
    </row>
    <row r="8" spans="1:17" x14ac:dyDescent="0.25">
      <c r="A8" s="6">
        <v>4</v>
      </c>
      <c r="B8" s="7" t="str">
        <f>'Scorecard-Summary'!D8</f>
        <v>Associate 4</v>
      </c>
      <c r="C8" s="7" t="str">
        <f>'Scorecard-Summary'!E8</f>
        <v>Associate Name 4</v>
      </c>
      <c r="D8" s="10">
        <f>SUM(G8,I8,K8,M8,O8,Q8)</f>
        <v>75</v>
      </c>
      <c r="E8" s="8" t="str">
        <f t="shared" si="1"/>
        <v>Advanced</v>
      </c>
      <c r="F8" s="83">
        <v>100</v>
      </c>
      <c r="G8" s="84">
        <f>F8*F4</f>
        <v>15</v>
      </c>
      <c r="H8" s="83">
        <v>100</v>
      </c>
      <c r="I8" s="84">
        <f>H8*H4</f>
        <v>10</v>
      </c>
      <c r="J8" s="83">
        <v>100</v>
      </c>
      <c r="K8" s="84">
        <f>J8*J4</f>
        <v>15</v>
      </c>
      <c r="L8" s="83">
        <v>100</v>
      </c>
      <c r="M8" s="84">
        <f>L8*L4</f>
        <v>10</v>
      </c>
      <c r="N8" s="83">
        <v>100</v>
      </c>
      <c r="O8" s="84">
        <f>N8*N4</f>
        <v>15</v>
      </c>
      <c r="P8" s="83">
        <v>100</v>
      </c>
      <c r="Q8" s="9">
        <f>P8*P4</f>
        <v>10</v>
      </c>
    </row>
    <row r="9" spans="1:17" x14ac:dyDescent="0.25">
      <c r="A9" s="6">
        <v>5</v>
      </c>
      <c r="B9" s="7" t="str">
        <f>'Scorecard-Summary'!D9</f>
        <v>Associate 5</v>
      </c>
      <c r="C9" s="7" t="str">
        <f>'Scorecard-Summary'!E9</f>
        <v>Associate Name 5</v>
      </c>
      <c r="D9" s="10">
        <f t="shared" si="0"/>
        <v>75</v>
      </c>
      <c r="E9" s="8" t="str">
        <f t="shared" si="1"/>
        <v>Advanced</v>
      </c>
      <c r="F9" s="83">
        <v>100</v>
      </c>
      <c r="G9" s="84">
        <f>F9*F4</f>
        <v>15</v>
      </c>
      <c r="H9" s="83">
        <v>100</v>
      </c>
      <c r="I9" s="84">
        <f>H9*H4</f>
        <v>10</v>
      </c>
      <c r="J9" s="83">
        <v>100</v>
      </c>
      <c r="K9" s="84">
        <f>J9*J4</f>
        <v>15</v>
      </c>
      <c r="L9" s="83">
        <v>100</v>
      </c>
      <c r="M9" s="84">
        <f>L9*L4</f>
        <v>10</v>
      </c>
      <c r="N9" s="83">
        <v>100</v>
      </c>
      <c r="O9" s="84">
        <f>N9*N4</f>
        <v>15</v>
      </c>
      <c r="P9" s="83">
        <v>100</v>
      </c>
      <c r="Q9" s="9">
        <f>P9*P4</f>
        <v>10</v>
      </c>
    </row>
  </sheetData>
  <sheetProtection algorithmName="SHA-512" hashValue="CV49wE9OZiLL4qN9mHQvPKCg1iZPCbvITXxzgGwfvGWbvj2e76Jnsa5MOnmTmPfmVv4tb/hAW1dPnD2CuisIUg==" saltValue="XMENi06UerO1FGlBU5XbAg==" spinCount="100000" sheet="1" selectLockedCells="1"/>
  <mergeCells count="20">
    <mergeCell ref="F2:I2"/>
    <mergeCell ref="J2:M2"/>
    <mergeCell ref="L3:M3"/>
    <mergeCell ref="N2:Q2"/>
    <mergeCell ref="N3:O3"/>
    <mergeCell ref="P3:Q3"/>
    <mergeCell ref="A4:D4"/>
    <mergeCell ref="A1:C1"/>
    <mergeCell ref="A2:C2"/>
    <mergeCell ref="D1:E1"/>
    <mergeCell ref="D2:E2"/>
    <mergeCell ref="P4:Q4"/>
    <mergeCell ref="F3:G3"/>
    <mergeCell ref="H3:I3"/>
    <mergeCell ref="J3:K3"/>
    <mergeCell ref="H4:I4"/>
    <mergeCell ref="J4:K4"/>
    <mergeCell ref="L4:M4"/>
    <mergeCell ref="F4:G4"/>
    <mergeCell ref="N4:O4"/>
  </mergeCells>
  <conditionalFormatting sqref="E5:E9">
    <cfRule type="cellIs" dxfId="2" priority="7" operator="equal">
      <formula>"Basic"</formula>
    </cfRule>
    <cfRule type="cellIs" dxfId="1" priority="8" operator="equal">
      <formula>"Intermediate"</formula>
    </cfRule>
    <cfRule type="cellIs" dxfId="0" priority="9" operator="equal">
      <formula>"Advanced"</formula>
    </cfRule>
  </conditionalFormatting>
  <dataValidations xWindow="463" yWindow="521" count="1">
    <dataValidation type="whole" allowBlank="1" showErrorMessage="1" errorTitle="Invalid Data" error="This cell allow only whole numbers from 0 to 100." sqref="F5:F9 H5:H9 J5:J9 L5:L9 N5:N9 P5:P9">
      <formula1>0</formula1>
      <formula2>100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mdGotoReadMe">
          <controlPr defaultSize="0" autoLine="0" autoPict="0" r:id="rId5">
            <anchor moveWithCells="1">
              <from>
                <xdr:col>17</xdr:col>
                <xdr:colOff>581025</xdr:colOff>
                <xdr:row>0</xdr:row>
                <xdr:rowOff>257175</xdr:rowOff>
              </from>
              <to>
                <xdr:col>21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4097" r:id="rId4" name="cmdGotoReadM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9C735C9F3CD54A948D0AD38DF112BF" ma:contentTypeVersion="11" ma:contentTypeDescription="Create a new document." ma:contentTypeScope="" ma:versionID="21d22ff45c5bcee3e13d2da0d2eaf86f">
  <xsd:schema xmlns:xsd="http://www.w3.org/2001/XMLSchema" xmlns:xs="http://www.w3.org/2001/XMLSchema" xmlns:p="http://schemas.microsoft.com/office/2006/metadata/properties" xmlns:ns2="eac52b12-2228-488c-9d59-8a93d308b64e" xmlns:ns3="951c5514-b77c-4532-82d5-a05f2f7d58e2" targetNamespace="http://schemas.microsoft.com/office/2006/metadata/properties" ma:root="true" ma:fieldsID="8b7f95d062efb1de1c26afcaa392f390" ns2:_="" ns3:_="">
    <xsd:import namespace="eac52b12-2228-488c-9d59-8a93d308b64e"/>
    <xsd:import namespace="951c5514-b77c-4532-82d5-a05f2f7d58e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c52b12-2228-488c-9d59-8a93d308b6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1c5514-b77c-4532-82d5-a05f2f7d58e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663A70-7546-4686-968C-AF5196F4BF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DBCFD28-68E4-4475-8286-DEADDED42F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c52b12-2228-488c-9d59-8a93d308b64e"/>
    <ds:schemaRef ds:uri="951c5514-b77c-4532-82d5-a05f2f7d58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BD0578E-C18B-41E0-AB6D-7DFC7B6925F6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951c5514-b77c-4532-82d5-a05f2f7d58e2"/>
    <ds:schemaRef ds:uri="9f50c8a6-e5a4-43ce-b67f-ee4bc8ad858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Cover Page</vt:lpstr>
      <vt:lpstr>README-.NET</vt:lpstr>
      <vt:lpstr>README-JAVA</vt:lpstr>
      <vt:lpstr>README-FSD .NET</vt:lpstr>
      <vt:lpstr>README-FSD JAVA</vt:lpstr>
      <vt:lpstr>README-MAINFRAME</vt:lpstr>
      <vt:lpstr>README-OTHERS</vt:lpstr>
      <vt:lpstr>Scorecard-Summary</vt:lpstr>
      <vt:lpstr>Data</vt:lpstr>
      <vt:lpstr>Scorecard-Scrum-Evaluation</vt:lpstr>
      <vt:lpstr>Scorecard-Tech-Evaluation</vt:lpstr>
    </vt:vector>
  </TitlesOfParts>
  <Manager/>
  <Company>Cognizant Technology Solutions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158153 [Leema Rose Alexander Raj]</dc:creator>
  <cp:keywords/>
  <dc:description/>
  <cp:lastModifiedBy>LeemaRose AlexanderRaj</cp:lastModifiedBy>
  <cp:revision/>
  <dcterms:created xsi:type="dcterms:W3CDTF">2017-07-03T08:44:04Z</dcterms:created>
  <dcterms:modified xsi:type="dcterms:W3CDTF">2020-03-13T09:45:13Z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0x0101007A9C735C9F3CD54A948D0AD38DF112BF</vt:lpwstr>
  </property>
</Properties>
</file>